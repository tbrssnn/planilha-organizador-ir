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bras\Documents\Pessoal Thiago\Cursos\Excel com IA - DIO\Projeto - Criando Um Organizador de Declaração de Imposto de Renda\"/>
    </mc:Choice>
  </mc:AlternateContent>
  <xr:revisionPtr revIDLastSave="0" documentId="13_ncr:1_{EA1CE868-BEE0-4394-8EAE-E969E69D6F88}" xr6:coauthVersionLast="47" xr6:coauthVersionMax="47" xr10:uidLastSave="{00000000-0000-0000-0000-000000000000}"/>
  <workbookProtection workbookAlgorithmName="SHA-512" workbookHashValue="98vTtsjEXQ4CV0r9eYVUMx7MnwOCACVZCpwhR7jjfyW3FatSDS59/WYAu2ZYRWYGspKVRcN2LMQFRewWp0XO6A==" workbookSaltValue="z7omP1NlONfJUk/3UN//ng==" workbookSpinCount="100000" lockStructure="1"/>
  <bookViews>
    <workbookView xWindow="14290" yWindow="-60" windowWidth="19420" windowHeight="11500" xr2:uid="{E30893E8-1D58-43FF-B5EE-A45E043590D1}"/>
  </bookViews>
  <sheets>
    <sheet name="Resumo" sheetId="7" r:id="rId1"/>
    <sheet name="Contribuinte" sheetId="1" r:id="rId2"/>
    <sheet name="Informes" sheetId="4" r:id="rId3"/>
    <sheet name="Notas" sheetId="3" r:id="rId4"/>
    <sheet name="Banco de dado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4" l="1"/>
  <c r="D5" i="7" s="1"/>
  <c r="D4" i="7"/>
  <c r="H22" i="3"/>
  <c r="D6" i="7" s="1"/>
  <c r="D7" i="7" s="1"/>
  <c r="D8" i="7" s="1"/>
  <c r="K12" i="3"/>
  <c r="D13" i="7" s="1"/>
  <c r="J12" i="3"/>
  <c r="D10" i="7" l="1" a="1"/>
  <c r="D10" i="7" s="1"/>
  <c r="D9" i="7" a="1"/>
  <c r="D9" i="7" s="1"/>
  <c r="D11" i="7" s="1"/>
  <c r="D12" i="7" s="1"/>
  <c r="D14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<sst xmlns="http://schemas.openxmlformats.org/spreadsheetml/2006/main" count="182" uniqueCount="158">
  <si>
    <t>Nome</t>
  </si>
  <si>
    <t>CPF</t>
  </si>
  <si>
    <t>Data de Nascimento</t>
  </si>
  <si>
    <t>Titulo de Eleitor</t>
  </si>
  <si>
    <t>Cônjuge</t>
  </si>
  <si>
    <t>Endereço</t>
  </si>
  <si>
    <t>CEP</t>
  </si>
  <si>
    <t>Telefone</t>
  </si>
  <si>
    <t>E-mail</t>
  </si>
  <si>
    <t>Houve alterações da entrega anterior</t>
  </si>
  <si>
    <t>Dependente Cônjuge</t>
  </si>
  <si>
    <t>Residente no Exterior</t>
  </si>
  <si>
    <t>Dados do Contribuinte</t>
  </si>
  <si>
    <t>Sim</t>
  </si>
  <si>
    <t>Não</t>
  </si>
  <si>
    <t>Cidade</t>
  </si>
  <si>
    <t>Estado</t>
  </si>
  <si>
    <t>SC</t>
  </si>
  <si>
    <t>Blumenau</t>
  </si>
  <si>
    <t>Rua Um Dois, 564</t>
  </si>
  <si>
    <t>Joana Silva</t>
  </si>
  <si>
    <t>João Silva</t>
  </si>
  <si>
    <t>joaoxs@gmail.com</t>
  </si>
  <si>
    <t>Informes de Rendimentos Bancários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</si>
  <si>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</si>
  <si>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</si>
  <si>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</si>
  <si>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</si>
  <si>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</si>
  <si>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</si>
  <si>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</si>
  <si>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</si>
  <si>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</si>
  <si>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</si>
  <si>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</si>
  <si>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</si>
  <si>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</si>
  <si>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</si>
  <si>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</si>
  <si>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</si>
  <si>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</si>
  <si>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</si>
  <si>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</si>
  <si>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</si>
  <si>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</si>
  <si>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</si>
  <si>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</si>
  <si>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</si>
  <si>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</si>
  <si>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</si>
  <si>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</si>
  <si>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</si>
  <si>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</si>
  <si>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</si>
  <si>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</si>
  <si>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</si>
  <si>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</si>
  <si>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</si>
  <si>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</si>
  <si>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</si>
  <si>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</si>
  <si>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</si>
  <si>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</si>
  <si>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</si>
  <si>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</si>
  <si>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</si>
  <si>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</si>
  <si>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</si>
  <si>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</si>
  <si>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</si>
  <si>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</si>
  <si>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</si>
  <si>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</si>
  <si>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</si>
  <si>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Código e Nome do Banco</t>
  </si>
  <si>
    <t>Bancos</t>
  </si>
  <si>
    <t>Nome da Mãe</t>
  </si>
  <si>
    <t>Maria Silva</t>
  </si>
  <si>
    <t>Profissão</t>
  </si>
  <si>
    <t>Administrador</t>
  </si>
  <si>
    <t>Advogado</t>
  </si>
  <si>
    <t>Analista de Sistemas</t>
  </si>
  <si>
    <t>Arquiteto</t>
  </si>
  <si>
    <t>Atendente</t>
  </si>
  <si>
    <t>Contador</t>
  </si>
  <si>
    <t>Corretor de Imóveis</t>
  </si>
  <si>
    <t>Cozinheiro</t>
  </si>
  <si>
    <t>Dentista</t>
  </si>
  <si>
    <t>Designer Gráfico</t>
  </si>
  <si>
    <t>Desenvolvedor de Software</t>
  </si>
  <si>
    <t>Eletricista</t>
  </si>
  <si>
    <t>Enfermeiro</t>
  </si>
  <si>
    <t>Engenheiro Civil</t>
  </si>
  <si>
    <t>Farmacêutico</t>
  </si>
  <si>
    <t>Fisioterapeuta</t>
  </si>
  <si>
    <t>Jornalista</t>
  </si>
  <si>
    <t>Mecânico</t>
  </si>
  <si>
    <t>Médico</t>
  </si>
  <si>
    <t>Motorista</t>
  </si>
  <si>
    <t>Nutricionista</t>
  </si>
  <si>
    <t>Pedagogo</t>
  </si>
  <si>
    <t>Professor</t>
  </si>
  <si>
    <t>Programador</t>
  </si>
  <si>
    <t>Psicólogo</t>
  </si>
  <si>
    <t>Recepcionista</t>
  </si>
  <si>
    <t>Secretária</t>
  </si>
  <si>
    <t>Técnico em Informática</t>
  </si>
  <si>
    <t>Vendedor</t>
  </si>
  <si>
    <t>Outros</t>
  </si>
  <si>
    <t>Profissões</t>
  </si>
  <si>
    <t>Noº Recibo Entrega Anterior</t>
  </si>
  <si>
    <t>Contas Bancárias</t>
  </si>
  <si>
    <t>Agência</t>
  </si>
  <si>
    <t>Conta</t>
  </si>
  <si>
    <t>Tipo</t>
  </si>
  <si>
    <t>Saldo em 31/12/2024</t>
  </si>
  <si>
    <t>Conta Corrente</t>
  </si>
  <si>
    <t>Conta Poupança</t>
  </si>
  <si>
    <t>156789-0</t>
  </si>
  <si>
    <t>Investimentos</t>
  </si>
  <si>
    <t>Código e Nome da Instituição</t>
  </si>
  <si>
    <t>Rendimentos em 2024</t>
  </si>
  <si>
    <t>LCA</t>
  </si>
  <si>
    <t>CDB</t>
  </si>
  <si>
    <t>Faixa IR</t>
  </si>
  <si>
    <t>Limite Inferior</t>
  </si>
  <si>
    <t>Limite Superior</t>
  </si>
  <si>
    <t>Alíquota</t>
  </si>
  <si>
    <t>Parcela a Deduzir</t>
  </si>
  <si>
    <t>Rendimentos e Deduções</t>
  </si>
  <si>
    <t>Rendimentos Tributáveis</t>
  </si>
  <si>
    <t>Fonte Pagadora</t>
  </si>
  <si>
    <t>CNPJ</t>
  </si>
  <si>
    <t>IR Retido</t>
  </si>
  <si>
    <t>Salário Bruto</t>
  </si>
  <si>
    <t>Aluguéis e Royalties</t>
  </si>
  <si>
    <t>Deduções Legais</t>
  </si>
  <si>
    <t>Contribuição ao INSS</t>
  </si>
  <si>
    <t>Despesas com Educação</t>
  </si>
  <si>
    <t>Despesas Médicas</t>
  </si>
  <si>
    <t>Total</t>
  </si>
  <si>
    <t>Textil Verde LTDA</t>
  </si>
  <si>
    <t>Logistica Green LTDA</t>
  </si>
  <si>
    <t>Aposentadorias e Pensões</t>
  </si>
  <si>
    <t>ISBLU</t>
  </si>
  <si>
    <t>Valor Anual</t>
  </si>
  <si>
    <t>Resumo do Imposto de Renda</t>
  </si>
  <si>
    <t>Total Rendimentos Tributáveis</t>
  </si>
  <si>
    <t>Total Rendimentos Isentos</t>
  </si>
  <si>
    <t>Total Deduções</t>
  </si>
  <si>
    <t>Base de Cálculo</t>
  </si>
  <si>
    <t>Base Mensal</t>
  </si>
  <si>
    <t>Alíquota Aplicada</t>
  </si>
  <si>
    <t>IR Estimado (Mensal)</t>
  </si>
  <si>
    <t>IR Estimado (Anual)</t>
  </si>
  <si>
    <t>IR Retido na Fonte</t>
  </si>
  <si>
    <t>Saldo (Restituir ou Pagar)</t>
  </si>
  <si>
    <t>67789-0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</si>
</sst>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&quot; &quot;0000&quot; &quot;0000"/>
    <numFmt numFmtId="166" formatCode="00000&quot;-&quot;000"/>
    <numFmt numFmtId="167" formatCode="&quot;(&quot;00&quot;)&quot;&quot; &quot;00000&quot;-&quot;0000"/>
    <numFmt numFmtId="168" formatCode="&quot;R$&quot;\ #,##0.00"/>
    <numFmt numFmtId="169" formatCode="000&quot; &quot;000&quot; &quot;000&quot; &quot;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6241"/>
      <name val="Segoe UI Black"/>
      <family val="2"/>
    </font>
    <font>
      <b/>
      <sz val="16"/>
      <color rgb="FF006241"/>
      <name val="Segoe UI"/>
      <family val="2"/>
    </font>
    <font>
      <sz val="14"/>
      <color rgb="FF006241"/>
      <name val="Calibri"/>
      <family val="2"/>
      <scheme val="minor"/>
    </font>
    <font>
      <b/>
      <sz val="14"/>
      <color rgb="FF006241"/>
      <name val="Segoe UI"/>
      <family val="2"/>
    </font>
    <font>
      <b/>
      <sz val="12"/>
      <color rgb="FF006241"/>
      <name val="Segoe UI"/>
      <family val="2"/>
    </font>
    <font>
      <b/>
      <sz val="12"/>
      <color theme="1"/>
      <name val="Calibri"/>
      <family val="2"/>
      <scheme val="minor"/>
    </font>
    <font>
      <b/>
      <i/>
      <sz val="12"/>
      <color rgb="FF006241"/>
      <name val="Segoe UI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i/>
      <sz val="14"/>
      <color rgb="FF006241"/>
      <name val="Segoe UI"/>
      <family val="2"/>
    </font>
    <font>
      <b/>
      <sz val="14"/>
      <color rgb="FF000000"/>
      <name val="Segoe UI"/>
      <family val="2"/>
    </font>
    <font>
      <sz val="12"/>
      <color rgb="FF006241"/>
      <name val="Segoe UI"/>
      <family val="2"/>
    </font>
    <font>
      <sz val="14"/>
      <color rgb="FF006241"/>
      <name val="Segoe UI"/>
      <family val="2"/>
    </font>
    <font>
      <i/>
      <sz val="16"/>
      <color rgb="FF006241"/>
      <name val="Segoe UI"/>
      <family val="2"/>
    </font>
    <font>
      <sz val="11"/>
      <color rgb="FF00624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5">
    <border>
      <left/>
      <right/>
      <top/>
      <bottom/>
      <diagonal/>
    </border>
    <border>
      <left/>
      <right style="thick">
        <color rgb="FF008000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rgb="FF008000"/>
      </bottom>
      <diagonal/>
    </border>
    <border>
      <left/>
      <right style="thick">
        <color rgb="FF008000"/>
      </right>
      <top/>
      <bottom style="thick">
        <color rgb="FF0080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0" xfId="0" applyFont="1" applyFill="1" applyAlignment="1">
      <alignment horizontal="left" vertical="center"/>
    </xf>
    <xf numFmtId="0" fontId="5" fillId="0" borderId="1" xfId="0" applyFont="1" applyBorder="1" applyAlignment="1">
      <alignment horizontal="right" vertical="center" indent="2"/>
    </xf>
    <xf numFmtId="0" fontId="7" fillId="3" borderId="0" xfId="0" applyFont="1" applyFill="1"/>
    <xf numFmtId="0" fontId="3" fillId="0" borderId="0" xfId="0" applyFont="1" applyFill="1" applyBorder="1" applyAlignment="1">
      <alignment horizontal="right" vertical="center" indent="2"/>
    </xf>
    <xf numFmtId="44" fontId="0" fillId="0" borderId="0" xfId="0" applyNumberFormat="1"/>
    <xf numFmtId="0" fontId="5" fillId="0" borderId="1" xfId="0" applyFont="1" applyFill="1" applyBorder="1" applyAlignment="1">
      <alignment horizontal="right" vertical="center" indent="2"/>
    </xf>
    <xf numFmtId="0" fontId="3" fillId="0" borderId="0" xfId="0" applyFont="1" applyBorder="1" applyAlignment="1">
      <alignment horizontal="right" vertical="center" indent="2"/>
    </xf>
    <xf numFmtId="0" fontId="4" fillId="0" borderId="0" xfId="0" applyFont="1" applyBorder="1" applyAlignment="1">
      <alignment horizontal="left" vertical="center" indent="2"/>
    </xf>
    <xf numFmtId="0" fontId="6" fillId="0" borderId="0" xfId="0" applyFont="1" applyBorder="1" applyAlignment="1">
      <alignment horizontal="left" vertical="center"/>
    </xf>
    <xf numFmtId="0" fontId="10" fillId="0" borderId="2" xfId="0" applyFont="1" applyBorder="1" applyAlignment="1">
      <alignment horizontal="right" wrapText="1"/>
    </xf>
    <xf numFmtId="9" fontId="10" fillId="0" borderId="2" xfId="0" applyNumberFormat="1" applyFont="1" applyBorder="1" applyAlignment="1">
      <alignment horizontal="right" wrapText="1"/>
    </xf>
    <xf numFmtId="10" fontId="10" fillId="0" borderId="2" xfId="0" applyNumberFormat="1" applyFont="1" applyBorder="1" applyAlignment="1">
      <alignment horizontal="right" wrapText="1"/>
    </xf>
    <xf numFmtId="168" fontId="0" fillId="0" borderId="0" xfId="0" applyNumberFormat="1"/>
    <xf numFmtId="0" fontId="5" fillId="0" borderId="0" xfId="0" applyFont="1" applyBorder="1" applyAlignment="1">
      <alignment horizontal="right" vertical="center" indent="2"/>
    </xf>
    <xf numFmtId="0" fontId="5" fillId="0" borderId="0" xfId="0" applyFont="1" applyFill="1" applyBorder="1" applyAlignment="1">
      <alignment horizontal="right" vertical="center" indent="2"/>
    </xf>
    <xf numFmtId="169" fontId="4" fillId="0" borderId="0" xfId="0" applyNumberFormat="1" applyFont="1" applyBorder="1" applyAlignment="1">
      <alignment horizontal="left" vertical="center" indent="2"/>
    </xf>
    <xf numFmtId="0" fontId="11" fillId="0" borderId="3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5" fillId="0" borderId="4" xfId="0" applyFont="1" applyBorder="1" applyAlignment="1">
      <alignment horizontal="right" vertical="center" indent="2"/>
    </xf>
    <xf numFmtId="0" fontId="2" fillId="3" borderId="0" xfId="0" applyFont="1" applyFill="1" applyAlignment="1">
      <alignment horizontal="left" vertical="center"/>
    </xf>
    <xf numFmtId="168" fontId="8" fillId="0" borderId="0" xfId="1" applyNumberFormat="1" applyFont="1" applyBorder="1" applyAlignment="1">
      <alignment vertical="center"/>
    </xf>
    <xf numFmtId="49" fontId="13" fillId="0" borderId="0" xfId="0" applyNumberFormat="1" applyFont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 vertical="center"/>
    </xf>
    <xf numFmtId="168" fontId="14" fillId="0" borderId="0" xfId="0" applyNumberFormat="1" applyFont="1" applyAlignment="1">
      <alignment horizontal="left" vertical="center" indent="2"/>
    </xf>
    <xf numFmtId="10" fontId="14" fillId="0" borderId="0" xfId="2" applyNumberFormat="1" applyFont="1" applyAlignment="1">
      <alignment horizontal="left" vertical="center" indent="2"/>
    </xf>
    <xf numFmtId="168" fontId="14" fillId="0" borderId="0" xfId="2" applyNumberFormat="1" applyFont="1" applyAlignment="1">
      <alignment horizontal="left" vertical="center" indent="2"/>
    </xf>
    <xf numFmtId="168" fontId="14" fillId="0" borderId="3" xfId="0" applyNumberFormat="1" applyFont="1" applyBorder="1" applyAlignment="1">
      <alignment horizontal="left" vertical="center" indent="2"/>
    </xf>
    <xf numFmtId="168" fontId="15" fillId="0" borderId="0" xfId="0" applyNumberFormat="1" applyFont="1" applyAlignment="1">
      <alignment horizontal="left" vertical="center" indent="2"/>
    </xf>
    <xf numFmtId="0" fontId="14" fillId="0" borderId="0" xfId="0" applyFont="1" applyFill="1" applyBorder="1" applyAlignment="1">
      <alignment horizontal="left" indent="2"/>
    </xf>
    <xf numFmtId="0" fontId="14" fillId="0" borderId="0" xfId="0" applyFont="1" applyBorder="1" applyAlignment="1">
      <alignment horizontal="left" vertical="center" indent="2"/>
    </xf>
    <xf numFmtId="167" fontId="14" fillId="0" borderId="0" xfId="0" applyNumberFormat="1" applyFont="1" applyBorder="1" applyAlignment="1">
      <alignment horizontal="left" vertical="center" indent="2"/>
    </xf>
    <xf numFmtId="0" fontId="16" fillId="0" borderId="3" xfId="0" applyFont="1" applyBorder="1"/>
    <xf numFmtId="0" fontId="16" fillId="0" borderId="0" xfId="0" applyFont="1"/>
    <xf numFmtId="49" fontId="16" fillId="0" borderId="0" xfId="0" applyNumberFormat="1" applyFont="1" applyAlignment="1"/>
    <xf numFmtId="168" fontId="16" fillId="0" borderId="0" xfId="1" applyNumberFormat="1" applyFont="1"/>
    <xf numFmtId="0" fontId="16" fillId="0" borderId="0" xfId="0" applyFont="1" applyBorder="1"/>
    <xf numFmtId="0" fontId="16" fillId="0" borderId="0" xfId="0" applyFont="1" applyAlignment="1">
      <alignment horizontal="right" vertical="center"/>
    </xf>
    <xf numFmtId="0" fontId="2" fillId="3" borderId="0" xfId="0" applyFont="1" applyFill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14" fillId="0" borderId="0" xfId="0" applyFont="1" applyAlignment="1" applyProtection="1">
      <alignment horizontal="left" vertical="center" indent="2"/>
      <protection locked="0"/>
    </xf>
    <xf numFmtId="164" fontId="14" fillId="0" borderId="0" xfId="0" applyNumberFormat="1" applyFont="1" applyAlignment="1" applyProtection="1">
      <alignment horizontal="left" vertical="center" indent="2"/>
      <protection locked="0"/>
    </xf>
    <xf numFmtId="14" fontId="14" fillId="0" borderId="0" xfId="0" applyNumberFormat="1" applyFont="1" applyAlignment="1" applyProtection="1">
      <alignment horizontal="left" vertical="center" indent="2"/>
      <protection locked="0"/>
    </xf>
    <xf numFmtId="165" fontId="14" fillId="0" borderId="0" xfId="0" applyNumberFormat="1" applyFont="1" applyAlignment="1" applyProtection="1">
      <alignment horizontal="left" vertical="center" indent="2"/>
      <protection locked="0"/>
    </xf>
    <xf numFmtId="168" fontId="14" fillId="0" borderId="0" xfId="0" applyNumberFormat="1" applyFont="1" applyAlignment="1" applyProtection="1">
      <alignment horizontal="left" vertical="center" indent="2"/>
      <protection locked="0"/>
    </xf>
    <xf numFmtId="166" fontId="14" fillId="0" borderId="0" xfId="0" applyNumberFormat="1" applyFont="1" applyAlignment="1" applyProtection="1">
      <alignment horizontal="left" vertical="center" indent="2"/>
      <protection locked="0"/>
    </xf>
    <xf numFmtId="167" fontId="14" fillId="0" borderId="0" xfId="0" applyNumberFormat="1" applyFont="1" applyAlignment="1" applyProtection="1">
      <alignment horizontal="left" vertical="center" indent="2"/>
      <protection locked="0"/>
    </xf>
    <xf numFmtId="0" fontId="14" fillId="0" borderId="0" xfId="0" applyFont="1" applyFill="1" applyAlignment="1" applyProtection="1">
      <alignment horizontal="left" indent="2"/>
      <protection locked="0"/>
    </xf>
    <xf numFmtId="0" fontId="4" fillId="0" borderId="0" xfId="0" applyFont="1" applyAlignment="1" applyProtection="1">
      <alignment horizontal="left" vertical="center" indent="2"/>
      <protection locked="0"/>
    </xf>
    <xf numFmtId="169" fontId="4" fillId="0" borderId="0" xfId="0" applyNumberFormat="1" applyFont="1" applyAlignment="1" applyProtection="1">
      <alignment horizontal="left" vertical="center" indent="2"/>
      <protection locked="0"/>
    </xf>
    <xf numFmtId="164" fontId="13" fillId="0" borderId="0" xfId="0" applyNumberFormat="1" applyFont="1" applyBorder="1" applyAlignment="1" applyProtection="1">
      <alignment horizontal="left" vertical="center" indent="2"/>
      <protection locked="0"/>
    </xf>
    <xf numFmtId="1" fontId="13" fillId="0" borderId="0" xfId="0" applyNumberFormat="1" applyFont="1" applyBorder="1" applyAlignment="1" applyProtection="1">
      <alignment horizontal="left" vertical="center"/>
      <protection locked="0"/>
    </xf>
    <xf numFmtId="168" fontId="13" fillId="0" borderId="0" xfId="1" applyNumberFormat="1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right" vertical="center" indent="2"/>
      <protection locked="0"/>
    </xf>
    <xf numFmtId="168" fontId="13" fillId="0" borderId="0" xfId="0" applyNumberFormat="1" applyFont="1" applyBorder="1" applyAlignment="1" applyProtection="1">
      <alignment horizontal="left" vertical="center"/>
      <protection locked="0"/>
    </xf>
    <xf numFmtId="168" fontId="13" fillId="0" borderId="0" xfId="1" applyNumberFormat="1" applyFont="1" applyBorder="1" applyAlignment="1" applyProtection="1">
      <alignment horizontal="left" vertical="center"/>
      <protection locked="0"/>
    </xf>
    <xf numFmtId="164" fontId="13" fillId="0" borderId="3" xfId="0" applyNumberFormat="1" applyFont="1" applyBorder="1" applyAlignment="1" applyProtection="1">
      <alignment horizontal="left" vertical="center" indent="2"/>
      <protection locked="0"/>
    </xf>
    <xf numFmtId="168" fontId="13" fillId="0" borderId="3" xfId="1" applyNumberFormat="1" applyFont="1" applyBorder="1" applyAlignment="1" applyProtection="1">
      <alignment horizontal="left" vertical="center"/>
      <protection locked="0"/>
    </xf>
    <xf numFmtId="168" fontId="13" fillId="0" borderId="3" xfId="1" applyNumberFormat="1" applyFont="1" applyBorder="1" applyAlignment="1" applyProtection="1">
      <alignment horizontal="left" vertical="center"/>
      <protection locked="0"/>
    </xf>
    <xf numFmtId="49" fontId="13" fillId="0" borderId="0" xfId="0" applyNumberFormat="1" applyFont="1" applyBorder="1" applyAlignment="1" applyProtection="1">
      <alignment horizontal="left" vertical="center" indent="1"/>
      <protection locked="0"/>
    </xf>
    <xf numFmtId="164" fontId="13" fillId="0" borderId="0" xfId="0" applyNumberFormat="1" applyFont="1" applyBorder="1" applyAlignment="1" applyProtection="1">
      <alignment horizontal="center" vertical="center"/>
      <protection locked="0"/>
    </xf>
    <xf numFmtId="49" fontId="16" fillId="0" borderId="0" xfId="0" applyNumberFormat="1" applyFont="1" applyAlignment="1" applyProtection="1">
      <alignment horizontal="center"/>
      <protection locked="0"/>
    </xf>
    <xf numFmtId="168" fontId="13" fillId="0" borderId="0" xfId="1" applyNumberFormat="1" applyFont="1" applyBorder="1" applyAlignment="1" applyProtection="1">
      <alignment vertical="center"/>
      <protection locked="0"/>
    </xf>
    <xf numFmtId="49" fontId="13" fillId="0" borderId="0" xfId="0" applyNumberFormat="1" applyFont="1" applyBorder="1" applyAlignment="1" applyProtection="1">
      <alignment horizontal="center" vertical="center"/>
      <protection locked="0"/>
    </xf>
    <xf numFmtId="168" fontId="13" fillId="0" borderId="0" xfId="0" applyNumberFormat="1" applyFont="1" applyBorder="1" applyAlignment="1" applyProtection="1">
      <alignment horizontal="center" vertical="center"/>
      <protection locked="0"/>
    </xf>
    <xf numFmtId="49" fontId="13" fillId="0" borderId="3" xfId="0" applyNumberFormat="1" applyFont="1" applyBorder="1" applyAlignment="1" applyProtection="1">
      <alignment horizontal="center" vertical="center"/>
      <protection locked="0"/>
    </xf>
    <xf numFmtId="164" fontId="13" fillId="0" borderId="3" xfId="0" applyNumberFormat="1" applyFont="1" applyBorder="1" applyAlignment="1" applyProtection="1">
      <alignment horizontal="center" vertical="center"/>
      <protection locked="0"/>
    </xf>
    <xf numFmtId="49" fontId="16" fillId="0" borderId="3" xfId="0" applyNumberFormat="1" applyFont="1" applyBorder="1" applyAlignment="1" applyProtection="1">
      <alignment horizontal="center"/>
      <protection locked="0"/>
    </xf>
    <xf numFmtId="168" fontId="13" fillId="0" borderId="3" xfId="1" applyNumberFormat="1" applyFont="1" applyBorder="1" applyAlignment="1" applyProtection="1">
      <alignment vertical="center"/>
      <protection locked="0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006241"/>
      <color rgb="FFC6E0B4"/>
      <color rgb="FF008000"/>
      <color rgb="FF3F3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ntribuinte!A1"/><Relationship Id="rId2" Type="http://schemas.openxmlformats.org/officeDocument/2006/relationships/hyperlink" Target="#Resumo!B1"/><Relationship Id="rId1" Type="http://schemas.openxmlformats.org/officeDocument/2006/relationships/image" Target="../media/image1.png"/><Relationship Id="rId5" Type="http://schemas.openxmlformats.org/officeDocument/2006/relationships/hyperlink" Target="#Notas!B1"/><Relationship Id="rId4" Type="http://schemas.openxmlformats.org/officeDocument/2006/relationships/hyperlink" Target="#Inform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tribuinte!A1"/><Relationship Id="rId2" Type="http://schemas.openxmlformats.org/officeDocument/2006/relationships/hyperlink" Target="#Resumo!B1"/><Relationship Id="rId1" Type="http://schemas.openxmlformats.org/officeDocument/2006/relationships/image" Target="../media/image1.png"/><Relationship Id="rId5" Type="http://schemas.openxmlformats.org/officeDocument/2006/relationships/hyperlink" Target="#Notas!B1"/><Relationship Id="rId4" Type="http://schemas.openxmlformats.org/officeDocument/2006/relationships/hyperlink" Target="#Inform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ibuinte!A1"/><Relationship Id="rId2" Type="http://schemas.openxmlformats.org/officeDocument/2006/relationships/hyperlink" Target="#Resumo!B1"/><Relationship Id="rId1" Type="http://schemas.openxmlformats.org/officeDocument/2006/relationships/image" Target="../media/image1.png"/><Relationship Id="rId5" Type="http://schemas.openxmlformats.org/officeDocument/2006/relationships/hyperlink" Target="#Notas!B1"/><Relationship Id="rId4" Type="http://schemas.openxmlformats.org/officeDocument/2006/relationships/hyperlink" Target="#Inform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ibuinte!A1"/><Relationship Id="rId2" Type="http://schemas.openxmlformats.org/officeDocument/2006/relationships/hyperlink" Target="#Resumo!B1"/><Relationship Id="rId1" Type="http://schemas.openxmlformats.org/officeDocument/2006/relationships/image" Target="../media/image1.png"/><Relationship Id="rId5" Type="http://schemas.openxmlformats.org/officeDocument/2006/relationships/hyperlink" Target="#Notas!B1"/><Relationship Id="rId4" Type="http://schemas.openxmlformats.org/officeDocument/2006/relationships/hyperlink" Target="#Inform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2148324</xdr:colOff>
      <xdr:row>7</xdr:row>
      <xdr:rowOff>246844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8324" cy="2189944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188337</xdr:colOff>
      <xdr:row>8</xdr:row>
      <xdr:rowOff>152853</xdr:rowOff>
    </xdr:from>
    <xdr:to>
      <xdr:col>0</xdr:col>
      <xdr:colOff>1959987</xdr:colOff>
      <xdr:row>10</xdr:row>
      <xdr:rowOff>77108</xdr:rowOff>
    </xdr:to>
    <xdr:sp macro="" textlink="">
      <xdr:nvSpPr>
        <xdr:cNvPr id="7" name="Fluxograma: Processo Alternativ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8337" y="2356303"/>
          <a:ext cx="1771650" cy="444955"/>
        </a:xfrm>
        <a:prstGeom prst="flowChartAlternateProcess">
          <a:avLst/>
        </a:prstGeom>
        <a:solidFill>
          <a:srgbClr val="00624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6">
                  <a:lumMod val="40000"/>
                  <a:lumOff val="6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Resumo</a:t>
          </a:r>
        </a:p>
      </xdr:txBody>
    </xdr:sp>
    <xdr:clientData/>
  </xdr:twoCellAnchor>
  <xdr:twoCellAnchor editAs="absolute">
    <xdr:from>
      <xdr:col>0</xdr:col>
      <xdr:colOff>188337</xdr:colOff>
      <xdr:row>10</xdr:row>
      <xdr:rowOff>206829</xdr:rowOff>
    </xdr:from>
    <xdr:to>
      <xdr:col>0</xdr:col>
      <xdr:colOff>1959987</xdr:colOff>
      <xdr:row>12</xdr:row>
      <xdr:rowOff>115207</xdr:rowOff>
    </xdr:to>
    <xdr:sp macro="" textlink="">
      <xdr:nvSpPr>
        <xdr:cNvPr id="8" name="Fluxograma: Processo Alternativ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88337" y="2921454"/>
          <a:ext cx="1771650" cy="438603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>
              <a:solidFill>
                <a:srgbClr val="00624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Contribuinte</a:t>
          </a:r>
          <a:endParaRPr lang="pt-BR" sz="1800" b="1">
            <a:solidFill>
              <a:srgbClr val="00624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188337</xdr:colOff>
      <xdr:row>12</xdr:row>
      <xdr:rowOff>264885</xdr:rowOff>
    </xdr:from>
    <xdr:to>
      <xdr:col>0</xdr:col>
      <xdr:colOff>1959987</xdr:colOff>
      <xdr:row>14</xdr:row>
      <xdr:rowOff>92982</xdr:rowOff>
    </xdr:to>
    <xdr:sp macro="" textlink="">
      <xdr:nvSpPr>
        <xdr:cNvPr id="9" name="Fluxograma: Processo Alternativ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8337" y="3506560"/>
          <a:ext cx="1771650" cy="428172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188337</xdr:colOff>
      <xdr:row>15</xdr:row>
      <xdr:rowOff>0</xdr:rowOff>
    </xdr:from>
    <xdr:to>
      <xdr:col>0</xdr:col>
      <xdr:colOff>1959987</xdr:colOff>
      <xdr:row>16</xdr:row>
      <xdr:rowOff>149680</xdr:rowOff>
    </xdr:to>
    <xdr:sp macro="" textlink="">
      <xdr:nvSpPr>
        <xdr:cNvPr id="10" name="Fluxograma: Processo Alternativ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88337" y="4098925"/>
          <a:ext cx="1771650" cy="410030"/>
        </a:xfrm>
        <a:prstGeom prst="flowChartAlternateProcess">
          <a:avLst/>
        </a:prstGeom>
        <a:solidFill>
          <a:srgbClr val="C6E0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2508250</xdr:colOff>
          <xdr:row>14</xdr:row>
          <xdr:rowOff>165100</xdr:rowOff>
        </xdr:from>
        <xdr:to>
          <xdr:col>3</xdr:col>
          <xdr:colOff>1270000</xdr:colOff>
          <xdr:row>16</xdr:row>
          <xdr:rowOff>133350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Gerar Relatório em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2148324</xdr:colOff>
      <xdr:row>7</xdr:row>
      <xdr:rowOff>250019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8324" cy="2148215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188337</xdr:colOff>
      <xdr:row>8</xdr:row>
      <xdr:rowOff>156028</xdr:rowOff>
    </xdr:from>
    <xdr:to>
      <xdr:col>0</xdr:col>
      <xdr:colOff>1959987</xdr:colOff>
      <xdr:row>10</xdr:row>
      <xdr:rowOff>77108</xdr:rowOff>
    </xdr:to>
    <xdr:sp macro="" textlink="">
      <xdr:nvSpPr>
        <xdr:cNvPr id="6" name="Fluxograma: Processo Alternativ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88337" y="2295525"/>
          <a:ext cx="1771650" cy="419100"/>
        </a:xfrm>
        <a:prstGeom prst="flowChartAlternateProcess">
          <a:avLst/>
        </a:prstGeom>
        <a:solidFill>
          <a:srgbClr val="C6E0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Resumo</a:t>
          </a:r>
        </a:p>
      </xdr:txBody>
    </xdr:sp>
    <xdr:clientData/>
  </xdr:twoCellAnchor>
  <xdr:twoCellAnchor editAs="absolute">
    <xdr:from>
      <xdr:col>0</xdr:col>
      <xdr:colOff>188337</xdr:colOff>
      <xdr:row>10</xdr:row>
      <xdr:rowOff>194129</xdr:rowOff>
    </xdr:from>
    <xdr:to>
      <xdr:col>0</xdr:col>
      <xdr:colOff>1959987</xdr:colOff>
      <xdr:row>12</xdr:row>
      <xdr:rowOff>115207</xdr:rowOff>
    </xdr:to>
    <xdr:sp macro="" textlink="">
      <xdr:nvSpPr>
        <xdr:cNvPr id="7" name="Fluxograma: Processo Alternativ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8337" y="2854325"/>
          <a:ext cx="1771650" cy="419100"/>
        </a:xfrm>
        <a:prstGeom prst="flowChartAlternateProcess">
          <a:avLst/>
        </a:prstGeom>
        <a:solidFill>
          <a:srgbClr val="00624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>
              <a:solidFill>
                <a:srgbClr val="C6E0B4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Contribuinte</a:t>
          </a:r>
          <a:endParaRPr lang="pt-BR" sz="1800" b="1">
            <a:solidFill>
              <a:srgbClr val="C6E0B4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188337</xdr:colOff>
      <xdr:row>13</xdr:row>
      <xdr:rowOff>1360</xdr:rowOff>
    </xdr:from>
    <xdr:to>
      <xdr:col>0</xdr:col>
      <xdr:colOff>1959987</xdr:colOff>
      <xdr:row>14</xdr:row>
      <xdr:rowOff>172357</xdr:rowOff>
    </xdr:to>
    <xdr:sp macro="" textlink="">
      <xdr:nvSpPr>
        <xdr:cNvPr id="8" name="Fluxograma: Processo Alternativ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88337" y="3506560"/>
          <a:ext cx="1771650" cy="431347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188337</xdr:colOff>
      <xdr:row>15</xdr:row>
      <xdr:rowOff>73025</xdr:rowOff>
    </xdr:from>
    <xdr:to>
      <xdr:col>0</xdr:col>
      <xdr:colOff>1959987</xdr:colOff>
      <xdr:row>16</xdr:row>
      <xdr:rowOff>225880</xdr:rowOff>
    </xdr:to>
    <xdr:sp macro="" textlink="">
      <xdr:nvSpPr>
        <xdr:cNvPr id="9" name="Fluxograma: Processo Alternativ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8337" y="4092575"/>
          <a:ext cx="1771650" cy="413205"/>
        </a:xfrm>
        <a:prstGeom prst="flowChartAlternateProcess">
          <a:avLst/>
        </a:prstGeom>
        <a:solidFill>
          <a:srgbClr val="C6E0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2148324</xdr:colOff>
      <xdr:row>8</xdr:row>
      <xdr:rowOff>116669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8324" cy="2193119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188337</xdr:colOff>
      <xdr:row>9</xdr:row>
      <xdr:rowOff>54428</xdr:rowOff>
    </xdr:from>
    <xdr:to>
      <xdr:col>0</xdr:col>
      <xdr:colOff>1959987</xdr:colOff>
      <xdr:row>11</xdr:row>
      <xdr:rowOff>42183</xdr:rowOff>
    </xdr:to>
    <xdr:sp macro="" textlink="">
      <xdr:nvSpPr>
        <xdr:cNvPr id="7" name="Fluxograma: Processo Alternativ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8337" y="2359478"/>
          <a:ext cx="1771650" cy="441780"/>
        </a:xfrm>
        <a:prstGeom prst="flowChartAlternateProcess">
          <a:avLst/>
        </a:prstGeom>
        <a:solidFill>
          <a:srgbClr val="C6E0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Resumo</a:t>
          </a:r>
        </a:p>
      </xdr:txBody>
    </xdr:sp>
    <xdr:clientData/>
  </xdr:twoCellAnchor>
  <xdr:twoCellAnchor editAs="absolute">
    <xdr:from>
      <xdr:col>0</xdr:col>
      <xdr:colOff>188337</xdr:colOff>
      <xdr:row>11</xdr:row>
      <xdr:rowOff>156029</xdr:rowOff>
    </xdr:from>
    <xdr:to>
      <xdr:col>0</xdr:col>
      <xdr:colOff>1959987</xdr:colOff>
      <xdr:row>13</xdr:row>
      <xdr:rowOff>137432</xdr:rowOff>
    </xdr:to>
    <xdr:sp macro="" textlink="">
      <xdr:nvSpPr>
        <xdr:cNvPr id="8" name="Fluxograma: Processo Alternativ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88337" y="2918279"/>
          <a:ext cx="1771650" cy="441778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>
              <a:solidFill>
                <a:srgbClr val="00624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Contribuinte</a:t>
          </a:r>
          <a:endParaRPr lang="pt-BR" sz="1800" b="1">
            <a:solidFill>
              <a:srgbClr val="00624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188337</xdr:colOff>
      <xdr:row>14</xdr:row>
      <xdr:rowOff>61685</xdr:rowOff>
    </xdr:from>
    <xdr:to>
      <xdr:col>0</xdr:col>
      <xdr:colOff>1959987</xdr:colOff>
      <xdr:row>16</xdr:row>
      <xdr:rowOff>35832</xdr:rowOff>
    </xdr:to>
    <xdr:sp macro="" textlink="">
      <xdr:nvSpPr>
        <xdr:cNvPr id="9" name="Fluxograma: Processo Alternativ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8337" y="3506560"/>
          <a:ext cx="1771650" cy="431347"/>
        </a:xfrm>
        <a:prstGeom prst="flowChartAlternateProcess">
          <a:avLst/>
        </a:prstGeom>
        <a:solidFill>
          <a:srgbClr val="00624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C6E0B4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188337</xdr:colOff>
      <xdr:row>16</xdr:row>
      <xdr:rowOff>193675</xdr:rowOff>
    </xdr:from>
    <xdr:to>
      <xdr:col>0</xdr:col>
      <xdr:colOff>1959987</xdr:colOff>
      <xdr:row>18</xdr:row>
      <xdr:rowOff>149680</xdr:rowOff>
    </xdr:to>
    <xdr:sp macro="" textlink="">
      <xdr:nvSpPr>
        <xdr:cNvPr id="10" name="Fluxograma: Processo Alternativ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88337" y="4095750"/>
          <a:ext cx="1771650" cy="413205"/>
        </a:xfrm>
        <a:prstGeom prst="flowChartAlternateProcess">
          <a:avLst/>
        </a:prstGeom>
        <a:solidFill>
          <a:srgbClr val="C6E0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2148324</xdr:colOff>
      <xdr:row>8</xdr:row>
      <xdr:rowOff>148419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8324" cy="2193119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188337</xdr:colOff>
      <xdr:row>9</xdr:row>
      <xdr:rowOff>92528</xdr:rowOff>
    </xdr:from>
    <xdr:to>
      <xdr:col>0</xdr:col>
      <xdr:colOff>1959987</xdr:colOff>
      <xdr:row>11</xdr:row>
      <xdr:rowOff>92983</xdr:rowOff>
    </xdr:to>
    <xdr:sp macro="" textlink="">
      <xdr:nvSpPr>
        <xdr:cNvPr id="13" name="Fluxograma: Processo Alternativ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88337" y="2359478"/>
          <a:ext cx="1771650" cy="441780"/>
        </a:xfrm>
        <a:prstGeom prst="flowChartAlternateProcess">
          <a:avLst/>
        </a:prstGeom>
        <a:solidFill>
          <a:srgbClr val="C6E0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Resumo</a:t>
          </a:r>
        </a:p>
      </xdr:txBody>
    </xdr:sp>
    <xdr:clientData/>
  </xdr:twoCellAnchor>
  <xdr:twoCellAnchor editAs="absolute">
    <xdr:from>
      <xdr:col>0</xdr:col>
      <xdr:colOff>188337</xdr:colOff>
      <xdr:row>11</xdr:row>
      <xdr:rowOff>206829</xdr:rowOff>
    </xdr:from>
    <xdr:to>
      <xdr:col>0</xdr:col>
      <xdr:colOff>1959987</xdr:colOff>
      <xdr:row>13</xdr:row>
      <xdr:rowOff>207282</xdr:rowOff>
    </xdr:to>
    <xdr:sp macro="" textlink="">
      <xdr:nvSpPr>
        <xdr:cNvPr id="14" name="Fluxograma: Processo Alternativ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88337" y="2918279"/>
          <a:ext cx="1771650" cy="441778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>
              <a:solidFill>
                <a:srgbClr val="00624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Contribuinte</a:t>
          </a:r>
          <a:endParaRPr lang="pt-BR" sz="1800" b="1">
            <a:solidFill>
              <a:srgbClr val="00624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188337</xdr:colOff>
      <xdr:row>14</xdr:row>
      <xdr:rowOff>131535</xdr:rowOff>
    </xdr:from>
    <xdr:to>
      <xdr:col>0</xdr:col>
      <xdr:colOff>1959987</xdr:colOff>
      <xdr:row>16</xdr:row>
      <xdr:rowOff>112032</xdr:rowOff>
    </xdr:to>
    <xdr:sp macro="" textlink="">
      <xdr:nvSpPr>
        <xdr:cNvPr id="15" name="Fluxograma: Processo Alternativ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88337" y="3506560"/>
          <a:ext cx="1771650" cy="431347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006241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188337</xdr:colOff>
      <xdr:row>17</xdr:row>
      <xdr:rowOff>53975</xdr:rowOff>
    </xdr:from>
    <xdr:to>
      <xdr:col>0</xdr:col>
      <xdr:colOff>1959987</xdr:colOff>
      <xdr:row>19</xdr:row>
      <xdr:rowOff>16330</xdr:rowOff>
    </xdr:to>
    <xdr:sp macro="" textlink="">
      <xdr:nvSpPr>
        <xdr:cNvPr id="16" name="Fluxograma: Processo Alternativ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88337" y="4095750"/>
          <a:ext cx="1771650" cy="413205"/>
        </a:xfrm>
        <a:prstGeom prst="flowChartAlternateProcess">
          <a:avLst/>
        </a:prstGeom>
        <a:solidFill>
          <a:srgbClr val="00624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6">
                  <a:lumMod val="40000"/>
                  <a:lumOff val="6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39E0E-37D9-4012-B522-DE23686D1DFF}">
  <sheetPr codeName="Planilha1"/>
  <dimension ref="A1:K26"/>
  <sheetViews>
    <sheetView showGridLines="0" showRowColHeaders="0" tabSelected="1" zoomScaleNormal="100" workbookViewId="0">
      <selection activeCell="L1" sqref="L1:XFD1048576"/>
    </sheetView>
  </sheetViews>
  <sheetFormatPr defaultColWidth="0" defaultRowHeight="15" x14ac:dyDescent="0.25"/>
  <cols>
    <col min="1" max="1" width="32.42578125" style="1" customWidth="1"/>
    <col min="2" max="2" width="5.140625" customWidth="1"/>
    <col min="3" max="3" width="55.28515625" bestFit="1" customWidth="1"/>
    <col min="4" max="4" width="41.42578125" customWidth="1"/>
    <col min="5" max="5" width="8.28515625" customWidth="1"/>
    <col min="6" max="7" width="9.140625" customWidth="1"/>
    <col min="8" max="8" width="16.5703125" customWidth="1"/>
    <col min="9" max="11" width="9.140625" customWidth="1"/>
    <col min="12" max="16384" width="9.140625" hidden="1"/>
  </cols>
  <sheetData>
    <row r="1" spans="2:11" ht="24.75" customHeight="1" x14ac:dyDescent="0.25"/>
    <row r="2" spans="2:11" ht="30.75" x14ac:dyDescent="0.25">
      <c r="B2" s="3"/>
      <c r="C2" s="2" t="s">
        <v>146</v>
      </c>
      <c r="D2" s="3"/>
      <c r="E2" s="3"/>
      <c r="F2" s="3"/>
      <c r="G2" s="3"/>
      <c r="H2" s="3"/>
      <c r="I2" s="3"/>
      <c r="J2" s="4"/>
      <c r="K2" s="4"/>
    </row>
    <row r="4" spans="2:11" ht="20.25" x14ac:dyDescent="0.3">
      <c r="C4" s="5" t="s">
        <v>147</v>
      </c>
      <c r="D4" s="27">
        <f>Notas!J12</f>
        <v>97200</v>
      </c>
      <c r="E4" s="36"/>
      <c r="F4" s="36"/>
      <c r="G4" s="36"/>
      <c r="H4" s="36"/>
      <c r="I4" s="36"/>
      <c r="J4" s="36"/>
      <c r="K4" s="36"/>
    </row>
    <row r="5" spans="2:11" ht="20.25" x14ac:dyDescent="0.3">
      <c r="C5" s="5" t="s">
        <v>148</v>
      </c>
      <c r="D5" s="27">
        <f>Informes!G19</f>
        <v>3500</v>
      </c>
      <c r="E5" s="36"/>
      <c r="F5" s="36"/>
      <c r="G5" s="36"/>
      <c r="H5" s="36"/>
      <c r="I5" s="36"/>
      <c r="J5" s="36"/>
      <c r="K5" s="36"/>
    </row>
    <row r="6" spans="2:11" ht="20.25" x14ac:dyDescent="0.3">
      <c r="C6" s="5" t="s">
        <v>149</v>
      </c>
      <c r="D6" s="27">
        <f>Notas!H22</f>
        <v>7589.32</v>
      </c>
      <c r="E6" s="40"/>
      <c r="F6" s="36"/>
      <c r="G6" s="36"/>
      <c r="H6" s="36"/>
      <c r="I6" s="36"/>
      <c r="J6" s="36"/>
      <c r="K6" s="36"/>
    </row>
    <row r="7" spans="2:11" ht="20.25" x14ac:dyDescent="0.3">
      <c r="C7" s="5" t="s">
        <v>150</v>
      </c>
      <c r="D7" s="27">
        <f>D4-D6</f>
        <v>89610.68</v>
      </c>
      <c r="E7" s="36"/>
      <c r="F7" s="36"/>
      <c r="G7" s="36"/>
      <c r="H7" s="36"/>
      <c r="I7" s="36"/>
      <c r="J7" s="36"/>
      <c r="K7" s="36"/>
    </row>
    <row r="8" spans="2:11" ht="20.25" x14ac:dyDescent="0.3">
      <c r="C8" s="5" t="s">
        <v>151</v>
      </c>
      <c r="D8" s="27">
        <f>D7/12</f>
        <v>7467.5566666666664</v>
      </c>
      <c r="E8" s="36"/>
      <c r="F8" s="36"/>
      <c r="G8" s="36"/>
      <c r="H8" s="36"/>
      <c r="I8" s="36"/>
      <c r="J8" s="36"/>
      <c r="K8" s="36"/>
    </row>
    <row r="9" spans="2:11" ht="20.25" x14ac:dyDescent="0.3">
      <c r="C9" s="5" t="s">
        <v>152</v>
      </c>
      <c r="D9" s="28" cm="1">
        <f t="array" ref="D9">_xlfn.IFS(Resumo!$D$8&lt;='Banco de dados'!G2,'Banco de dados'!H2,Resumo!$D$8&lt;='Banco de dados'!G3,'Banco de dados'!H3,Resumo!$D$8&lt;='Banco de dados'!G4,'Banco de dados'!H4,Resumo!$D$8&lt;='Banco de dados'!G5,'Banco de dados'!H5,Resumo!$D$8&gt;='Banco de dados'!F6,'Banco de dados'!H6)</f>
        <v>0.27500000000000002</v>
      </c>
      <c r="E9" s="36"/>
      <c r="F9" s="36"/>
      <c r="G9" s="36"/>
      <c r="H9" s="36"/>
      <c r="I9" s="36"/>
      <c r="J9" s="36"/>
      <c r="K9" s="36"/>
    </row>
    <row r="10" spans="2:11" ht="20.25" x14ac:dyDescent="0.3">
      <c r="C10" s="5" t="s">
        <v>128</v>
      </c>
      <c r="D10" s="29" cm="1">
        <f t="array" ref="D10">_xlfn.IFS(Resumo!$D$8&lt;='Banco de dados'!G3,'Banco de dados'!I3,Resumo!$D$8&lt;='Banco de dados'!G4,'Banco de dados'!I4,Resumo!$D$8&lt;='Banco de dados'!G5,'Banco de dados'!I5,Resumo!$D$8&lt;='Banco de dados'!G6,'Banco de dados'!I6,Resumo!$D$8&gt;='Banco de dados'!F7,'Banco de dados'!I7)</f>
        <v>896</v>
      </c>
      <c r="E10" s="36"/>
      <c r="F10" s="36"/>
      <c r="G10" s="36"/>
      <c r="H10" s="36"/>
      <c r="I10" s="36"/>
      <c r="J10" s="36"/>
      <c r="K10" s="36"/>
    </row>
    <row r="11" spans="2:11" ht="20.25" x14ac:dyDescent="0.3">
      <c r="C11" s="5" t="s">
        <v>153</v>
      </c>
      <c r="D11" s="27">
        <f>D8*D9-D10</f>
        <v>1157.5780833333333</v>
      </c>
      <c r="E11" s="36"/>
      <c r="F11" s="36"/>
      <c r="G11" s="36"/>
      <c r="H11" s="36"/>
      <c r="I11" s="36"/>
      <c r="J11" s="36"/>
      <c r="K11" s="36"/>
    </row>
    <row r="12" spans="2:11" ht="20.25" x14ac:dyDescent="0.3">
      <c r="C12" s="5" t="s">
        <v>154</v>
      </c>
      <c r="D12" s="27">
        <f>D11*12</f>
        <v>13890.937</v>
      </c>
      <c r="E12" s="36"/>
      <c r="F12" s="36"/>
      <c r="G12" s="36"/>
      <c r="H12" s="36"/>
      <c r="I12" s="36"/>
      <c r="J12" s="36"/>
      <c r="K12" s="36"/>
    </row>
    <row r="13" spans="2:11" ht="21" thickBot="1" x14ac:dyDescent="0.35">
      <c r="C13" s="22" t="s">
        <v>155</v>
      </c>
      <c r="D13" s="30">
        <f>Notas!K12</f>
        <v>4543.2000000000007</v>
      </c>
      <c r="E13" s="36"/>
      <c r="F13" s="36"/>
      <c r="G13" s="36"/>
      <c r="H13" s="36"/>
      <c r="I13" s="36"/>
      <c r="J13" s="36"/>
      <c r="K13" s="36"/>
    </row>
    <row r="14" spans="2:11" ht="26.25" thickTop="1" x14ac:dyDescent="0.3">
      <c r="C14" s="5" t="s">
        <v>156</v>
      </c>
      <c r="D14" s="31">
        <f>D12-D13</f>
        <v>9347.7369999999992</v>
      </c>
      <c r="E14" s="36"/>
      <c r="F14" s="36"/>
      <c r="G14" s="36"/>
      <c r="H14" s="36"/>
      <c r="I14" s="36"/>
      <c r="J14" s="36"/>
      <c r="K14" s="36"/>
    </row>
    <row r="15" spans="2:11" ht="20.25" x14ac:dyDescent="0.3">
      <c r="C15" s="36"/>
      <c r="D15" s="27"/>
      <c r="E15" s="36"/>
      <c r="F15" s="36"/>
      <c r="G15" s="36"/>
      <c r="H15" s="36"/>
      <c r="I15" s="36"/>
      <c r="J15" s="36"/>
      <c r="K15" s="36"/>
    </row>
    <row r="16" spans="2:11" ht="20.25" x14ac:dyDescent="0.35">
      <c r="C16" s="17"/>
      <c r="D16" s="32"/>
      <c r="E16" s="36"/>
      <c r="F16" s="36"/>
      <c r="G16" s="36"/>
      <c r="H16" s="36"/>
      <c r="I16" s="36"/>
      <c r="J16" s="36"/>
      <c r="K16" s="36"/>
    </row>
    <row r="17" spans="3:11" ht="20.25" x14ac:dyDescent="0.3">
      <c r="C17" s="17"/>
      <c r="D17" s="33"/>
      <c r="E17" s="36"/>
      <c r="F17" s="36"/>
      <c r="G17" s="36"/>
      <c r="H17" s="36"/>
      <c r="I17" s="36"/>
      <c r="J17" s="36"/>
      <c r="K17" s="36"/>
    </row>
    <row r="18" spans="3:11" ht="20.25" x14ac:dyDescent="0.3">
      <c r="C18" s="17"/>
      <c r="D18" s="33"/>
      <c r="E18" s="36"/>
      <c r="F18" s="36"/>
      <c r="G18" s="36"/>
      <c r="H18" s="36"/>
      <c r="I18" s="36"/>
      <c r="J18" s="36"/>
      <c r="K18" s="36"/>
    </row>
    <row r="19" spans="3:11" ht="20.25" x14ac:dyDescent="0.3">
      <c r="C19" s="17"/>
      <c r="D19" s="33"/>
      <c r="E19" s="36"/>
      <c r="F19" s="36"/>
      <c r="G19" s="36"/>
      <c r="H19" s="36"/>
      <c r="I19" s="36"/>
      <c r="J19" s="36"/>
      <c r="K19" s="36"/>
    </row>
    <row r="20" spans="3:11" ht="20.25" x14ac:dyDescent="0.3">
      <c r="C20" s="17"/>
      <c r="D20" s="33"/>
      <c r="E20" s="36"/>
      <c r="F20" s="36"/>
      <c r="G20" s="36"/>
      <c r="H20" s="36"/>
      <c r="I20" s="36"/>
      <c r="J20" s="36"/>
      <c r="K20" s="36"/>
    </row>
    <row r="21" spans="3:11" ht="20.25" x14ac:dyDescent="0.3">
      <c r="C21" s="17"/>
      <c r="D21" s="34"/>
      <c r="E21" s="36"/>
      <c r="F21" s="36"/>
      <c r="G21" s="36"/>
      <c r="H21" s="36"/>
      <c r="I21" s="36"/>
      <c r="J21" s="36"/>
      <c r="K21" s="36"/>
    </row>
    <row r="22" spans="3:11" ht="20.25" x14ac:dyDescent="0.35">
      <c r="C22" s="17"/>
      <c r="D22" s="32"/>
      <c r="E22" s="36"/>
      <c r="F22" s="36"/>
      <c r="G22" s="36"/>
      <c r="H22" s="36"/>
      <c r="I22" s="36"/>
      <c r="J22" s="36"/>
      <c r="K22" s="36"/>
    </row>
    <row r="23" spans="3:11" ht="20.25" x14ac:dyDescent="0.25">
      <c r="C23" s="17"/>
      <c r="D23" s="11"/>
    </row>
    <row r="24" spans="3:11" ht="20.25" x14ac:dyDescent="0.25">
      <c r="C24" s="17"/>
      <c r="D24" s="11"/>
    </row>
    <row r="25" spans="3:11" ht="20.25" x14ac:dyDescent="0.25">
      <c r="C25" s="17"/>
      <c r="D25" s="11"/>
    </row>
    <row r="26" spans="3:11" ht="20.25" x14ac:dyDescent="0.25">
      <c r="C26" s="18"/>
      <c r="D26" s="19"/>
    </row>
  </sheetData>
  <sheetProtection algorithmName="SHA-512" hashValue="ZNp1gWA6NzudgYPbe9wqUo6sBTu3Bkh2JYhIltXDgUtCFV5iZ3HsrZRNiv73ImUcFhztALi+JFrTkpZhtDeHQA==" saltValue="UV5qSe/yuoAtIbCMkdu4F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GerarRelatorioEmPDF">
                <anchor>
                  <from>
                    <xdr:col>2</xdr:col>
                    <xdr:colOff>2505075</xdr:colOff>
                    <xdr:row>14</xdr:row>
                    <xdr:rowOff>161925</xdr:rowOff>
                  </from>
                  <to>
                    <xdr:col>3</xdr:col>
                    <xdr:colOff>1266825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C1D96-E777-4A67-BF4C-4F98FA4BC331}">
  <sheetPr codeName="Planilha2"/>
  <dimension ref="A1:K25"/>
  <sheetViews>
    <sheetView showGridLines="0" showRowColHeaders="0" zoomScaleNormal="100" workbookViewId="0">
      <selection activeCell="D8" sqref="D8"/>
    </sheetView>
  </sheetViews>
  <sheetFormatPr defaultColWidth="0" defaultRowHeight="15" x14ac:dyDescent="0.25"/>
  <cols>
    <col min="1" max="1" width="32.42578125" style="1" customWidth="1"/>
    <col min="2" max="2" width="5.140625" customWidth="1"/>
    <col min="3" max="3" width="55.28515625" bestFit="1" customWidth="1"/>
    <col min="4" max="4" width="41.42578125" customWidth="1"/>
    <col min="5" max="5" width="8.28515625" customWidth="1"/>
    <col min="6" max="7" width="9.140625" customWidth="1"/>
    <col min="8" max="8" width="16.5703125" customWidth="1"/>
    <col min="9" max="11" width="9.140625" customWidth="1"/>
    <col min="12" max="16384" width="9.140625" hidden="1"/>
  </cols>
  <sheetData>
    <row r="1" spans="2:11" ht="24.75" customHeight="1" x14ac:dyDescent="0.25"/>
    <row r="2" spans="2:11" ht="30.75" x14ac:dyDescent="0.25">
      <c r="B2" s="3"/>
      <c r="C2" s="2" t="s">
        <v>12</v>
      </c>
      <c r="D2" s="3"/>
      <c r="E2" s="3"/>
      <c r="F2" s="3"/>
      <c r="G2" s="3"/>
      <c r="H2" s="3"/>
      <c r="I2" s="3"/>
      <c r="J2" s="4"/>
      <c r="K2" s="4"/>
    </row>
    <row r="4" spans="2:11" ht="20.25" x14ac:dyDescent="0.3">
      <c r="C4" s="5" t="s">
        <v>0</v>
      </c>
      <c r="D4" s="43" t="s">
        <v>21</v>
      </c>
      <c r="E4" s="36"/>
      <c r="F4" s="36"/>
      <c r="G4" s="36"/>
      <c r="H4" s="36"/>
      <c r="I4" s="36"/>
      <c r="J4" s="36"/>
      <c r="K4" s="36"/>
    </row>
    <row r="5" spans="2:11" ht="20.25" x14ac:dyDescent="0.3">
      <c r="C5" s="5" t="s">
        <v>1</v>
      </c>
      <c r="D5" s="44">
        <v>76543210987</v>
      </c>
      <c r="E5" s="40"/>
      <c r="F5" s="36"/>
      <c r="G5" s="36"/>
      <c r="H5" s="36"/>
      <c r="I5" s="36"/>
      <c r="J5" s="36"/>
      <c r="K5" s="36"/>
    </row>
    <row r="6" spans="2:11" ht="20.25" x14ac:dyDescent="0.3">
      <c r="C6" s="5" t="s">
        <v>2</v>
      </c>
      <c r="D6" s="45">
        <v>36789</v>
      </c>
      <c r="E6" s="36"/>
      <c r="F6" s="36"/>
      <c r="G6" s="36"/>
      <c r="H6" s="36"/>
      <c r="I6" s="36"/>
      <c r="J6" s="36"/>
      <c r="K6" s="36"/>
    </row>
    <row r="7" spans="2:11" ht="20.25" x14ac:dyDescent="0.3">
      <c r="C7" s="5" t="s">
        <v>3</v>
      </c>
      <c r="D7" s="46">
        <v>123456789012</v>
      </c>
      <c r="E7" s="36"/>
      <c r="F7" s="36"/>
      <c r="G7" s="36"/>
      <c r="H7" s="36"/>
      <c r="I7" s="36"/>
      <c r="J7" s="36"/>
      <c r="K7" s="36"/>
    </row>
    <row r="8" spans="2:11" ht="20.25" x14ac:dyDescent="0.3">
      <c r="C8" s="5" t="s">
        <v>76</v>
      </c>
      <c r="D8" s="43" t="s">
        <v>77</v>
      </c>
      <c r="E8" s="36"/>
      <c r="F8" s="36"/>
      <c r="G8" s="36"/>
      <c r="H8" s="36"/>
      <c r="I8" s="36"/>
      <c r="J8" s="36"/>
      <c r="K8" s="36"/>
    </row>
    <row r="9" spans="2:11" ht="20.25" x14ac:dyDescent="0.3">
      <c r="C9" s="5" t="s">
        <v>4</v>
      </c>
      <c r="D9" s="43" t="s">
        <v>20</v>
      </c>
      <c r="E9" s="36"/>
      <c r="F9" s="36"/>
      <c r="G9" s="36"/>
      <c r="H9" s="36"/>
      <c r="I9" s="36"/>
      <c r="J9" s="36"/>
      <c r="K9" s="36"/>
    </row>
    <row r="10" spans="2:11" ht="20.25" x14ac:dyDescent="0.3">
      <c r="C10" s="5" t="s">
        <v>5</v>
      </c>
      <c r="D10" s="47" t="s">
        <v>19</v>
      </c>
      <c r="E10" s="36"/>
      <c r="F10" s="36"/>
      <c r="G10" s="36"/>
      <c r="H10" s="36"/>
      <c r="I10" s="36"/>
      <c r="J10" s="36"/>
      <c r="K10" s="36"/>
    </row>
    <row r="11" spans="2:11" ht="20.25" x14ac:dyDescent="0.3">
      <c r="C11" s="5" t="s">
        <v>15</v>
      </c>
      <c r="D11" s="43" t="s">
        <v>18</v>
      </c>
      <c r="E11" s="36"/>
      <c r="F11" s="36"/>
      <c r="G11" s="36"/>
      <c r="H11" s="36"/>
      <c r="I11" s="36"/>
      <c r="J11" s="36"/>
      <c r="K11" s="36"/>
    </row>
    <row r="12" spans="2:11" ht="20.25" x14ac:dyDescent="0.3">
      <c r="C12" s="5" t="s">
        <v>16</v>
      </c>
      <c r="D12" s="43" t="s">
        <v>17</v>
      </c>
      <c r="E12" s="36"/>
      <c r="F12" s="36"/>
      <c r="G12" s="36"/>
      <c r="H12" s="36"/>
      <c r="I12" s="36"/>
      <c r="J12" s="36"/>
      <c r="K12" s="36"/>
    </row>
    <row r="13" spans="2:11" ht="20.25" x14ac:dyDescent="0.3">
      <c r="C13" s="5" t="s">
        <v>6</v>
      </c>
      <c r="D13" s="48">
        <v>89067098</v>
      </c>
      <c r="E13" s="36"/>
      <c r="F13" s="36"/>
      <c r="G13" s="36"/>
      <c r="H13" s="36"/>
      <c r="I13" s="36"/>
      <c r="J13" s="36"/>
      <c r="K13" s="36"/>
    </row>
    <row r="14" spans="2:11" ht="20.25" x14ac:dyDescent="0.3">
      <c r="C14" s="5" t="s">
        <v>7</v>
      </c>
      <c r="D14" s="49">
        <v>46987650987</v>
      </c>
      <c r="E14" s="36"/>
      <c r="F14" s="36"/>
      <c r="G14" s="36"/>
      <c r="H14" s="36"/>
      <c r="I14" s="36"/>
      <c r="J14" s="36"/>
      <c r="K14" s="36"/>
    </row>
    <row r="15" spans="2:11" ht="20.25" x14ac:dyDescent="0.35">
      <c r="C15" s="5" t="s">
        <v>8</v>
      </c>
      <c r="D15" s="50" t="s">
        <v>22</v>
      </c>
      <c r="E15" s="36"/>
      <c r="F15" s="36"/>
      <c r="G15" s="36"/>
      <c r="H15" s="36"/>
      <c r="I15" s="36"/>
      <c r="J15" s="36"/>
      <c r="K15" s="36"/>
    </row>
    <row r="16" spans="2:11" ht="20.25" x14ac:dyDescent="0.3">
      <c r="C16" s="5" t="s">
        <v>78</v>
      </c>
      <c r="D16" s="43" t="s">
        <v>106</v>
      </c>
      <c r="E16" s="36"/>
      <c r="F16" s="36"/>
      <c r="G16" s="36"/>
      <c r="H16" s="36"/>
      <c r="I16" s="36"/>
      <c r="J16" s="36"/>
      <c r="K16" s="36"/>
    </row>
    <row r="17" spans="3:11" ht="20.25" x14ac:dyDescent="0.3">
      <c r="C17" s="5" t="s">
        <v>9</v>
      </c>
      <c r="D17" s="43" t="s">
        <v>13</v>
      </c>
      <c r="E17" s="36"/>
      <c r="F17" s="36"/>
      <c r="G17" s="36"/>
      <c r="H17" s="36"/>
      <c r="I17" s="36"/>
      <c r="J17" s="36"/>
      <c r="K17" s="36"/>
    </row>
    <row r="18" spans="3:11" ht="20.25" x14ac:dyDescent="0.3">
      <c r="C18" s="5" t="s">
        <v>10</v>
      </c>
      <c r="D18" s="43" t="s">
        <v>14</v>
      </c>
      <c r="E18" s="36"/>
      <c r="F18" s="36"/>
      <c r="G18" s="36"/>
      <c r="H18" s="36"/>
      <c r="I18" s="36"/>
      <c r="J18" s="36"/>
      <c r="K18" s="36"/>
    </row>
    <row r="19" spans="3:11" ht="20.25" x14ac:dyDescent="0.3">
      <c r="C19" s="5" t="s">
        <v>11</v>
      </c>
      <c r="D19" s="43" t="s">
        <v>14</v>
      </c>
      <c r="E19" s="36"/>
      <c r="F19" s="36"/>
      <c r="G19" s="36"/>
      <c r="H19" s="36"/>
      <c r="I19" s="36"/>
      <c r="J19" s="36"/>
      <c r="K19" s="36"/>
    </row>
    <row r="20" spans="3:11" ht="20.25" x14ac:dyDescent="0.3">
      <c r="C20" s="5" t="s">
        <v>7</v>
      </c>
      <c r="D20" s="49">
        <v>46987650987</v>
      </c>
      <c r="E20" s="36"/>
      <c r="F20" s="36"/>
      <c r="G20" s="36"/>
      <c r="H20" s="36"/>
      <c r="I20" s="36"/>
      <c r="J20" s="36"/>
      <c r="K20" s="36"/>
    </row>
    <row r="21" spans="3:11" ht="20.25" x14ac:dyDescent="0.35">
      <c r="C21" s="5" t="s">
        <v>8</v>
      </c>
      <c r="D21" s="50" t="s">
        <v>22</v>
      </c>
      <c r="E21" s="36"/>
      <c r="F21" s="36"/>
      <c r="G21" s="36"/>
      <c r="H21" s="36"/>
      <c r="I21" s="36"/>
      <c r="J21" s="36"/>
      <c r="K21" s="36"/>
    </row>
    <row r="22" spans="3:11" ht="20.25" x14ac:dyDescent="0.3">
      <c r="C22" s="5" t="s">
        <v>9</v>
      </c>
      <c r="D22" s="43" t="s">
        <v>13</v>
      </c>
      <c r="E22" s="36"/>
      <c r="F22" s="36"/>
      <c r="G22" s="36"/>
      <c r="H22" s="36"/>
      <c r="I22" s="36"/>
      <c r="J22" s="36"/>
      <c r="K22" s="36"/>
    </row>
    <row r="23" spans="3:11" ht="20.25" x14ac:dyDescent="0.25">
      <c r="C23" s="5" t="s">
        <v>10</v>
      </c>
      <c r="D23" s="51" t="s">
        <v>14</v>
      </c>
    </row>
    <row r="24" spans="3:11" ht="20.25" x14ac:dyDescent="0.25">
      <c r="C24" s="5" t="s">
        <v>11</v>
      </c>
      <c r="D24" s="51" t="s">
        <v>14</v>
      </c>
    </row>
    <row r="25" spans="3:11" ht="20.25" x14ac:dyDescent="0.25">
      <c r="C25" s="9" t="s">
        <v>110</v>
      </c>
      <c r="D25" s="52">
        <v>123456789123</v>
      </c>
    </row>
  </sheetData>
  <sheetProtection algorithmName="SHA-512" hashValue="y+E7ORilHZvxk9JOHccS3NpLUUc5vZOdKnO9BiTog93Yt0ZsBxnZCh6+wet8ROZjcsCGjYIF2Eyj5TMT4p6uYg==" saltValue="15YTN4n+7lOpMJsea/LGsQ==" spinCount="100000" sheet="1" objects="1" scenarios="1" selectLockedCells="1"/>
  <dataValidations count="2">
    <dataValidation type="list" allowBlank="1" showInputMessage="1" showErrorMessage="1" sqref="D22:D24 D17:D19" xr:uid="{4E7815B6-FCFB-4DA7-AECC-3E63F6BB068F}">
      <formula1>"Sim, Não"</formula1>
    </dataValidation>
    <dataValidation type="list" allowBlank="1" showInputMessage="1" showErrorMessage="1" sqref="D12" xr:uid="{55B3D60C-90EC-4EB6-91D3-318E567F6679}">
      <formula1>"AC, AL, AM, AP, BA, CE, DF, ES, GO, MA, MG, MS, MT, PA, PB, PE, PI, PR, RJ, RN, RO, RR, RS, SC, SE, SP, TO"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DB6883-931E-4DA3-9A91-CF6D64CB0B46}">
          <x14:formula1>
            <xm:f>'Banco de dados'!$C$2:$C$31</xm:f>
          </x14:formula1>
          <xm:sqref>D16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20629-7A86-4F38-B93E-9C21C353236F}">
  <sheetPr codeName="Planilha3"/>
  <dimension ref="A1:N22"/>
  <sheetViews>
    <sheetView showGridLines="0" showRowColHeaders="0" workbookViewId="0">
      <selection activeCell="G15" sqref="G15"/>
    </sheetView>
  </sheetViews>
  <sheetFormatPr defaultRowHeight="15" x14ac:dyDescent="0.25"/>
  <cols>
    <col min="1" max="1" width="32.42578125" style="1" customWidth="1"/>
    <col min="2" max="2" width="5.140625" customWidth="1"/>
    <col min="3" max="3" width="34.5703125" bestFit="1" customWidth="1"/>
    <col min="4" max="4" width="10.140625" bestFit="1" customWidth="1"/>
    <col min="5" max="5" width="12.28515625" bestFit="1" customWidth="1"/>
    <col min="6" max="6" width="18.85546875" bestFit="1" customWidth="1"/>
    <col min="7" max="7" width="27.42578125" bestFit="1" customWidth="1"/>
    <col min="8" max="8" width="16.5703125" customWidth="1"/>
  </cols>
  <sheetData>
    <row r="1" spans="2:14" ht="24.75" customHeight="1" x14ac:dyDescent="0.25"/>
    <row r="2" spans="2:14" ht="30.75" customHeight="1" x14ac:dyDescent="0.25">
      <c r="B2" s="3"/>
      <c r="C2" s="41" t="s">
        <v>23</v>
      </c>
      <c r="D2" s="41"/>
      <c r="E2" s="41"/>
      <c r="F2" s="41"/>
      <c r="G2" s="3"/>
      <c r="H2" s="3"/>
      <c r="I2" s="3"/>
      <c r="J2" s="4"/>
      <c r="K2" s="23"/>
      <c r="L2" s="23"/>
      <c r="M2" s="23"/>
      <c r="N2" s="23"/>
    </row>
    <row r="4" spans="2:14" ht="21" thickBot="1" x14ac:dyDescent="0.4">
      <c r="C4" s="20" t="s">
        <v>111</v>
      </c>
      <c r="D4" s="21"/>
      <c r="E4" s="21"/>
      <c r="F4" s="21"/>
      <c r="G4" s="35"/>
      <c r="H4" s="39"/>
      <c r="I4" s="36"/>
      <c r="J4" s="36"/>
      <c r="K4" s="36"/>
    </row>
    <row r="5" spans="2:14" ht="18" thickTop="1" x14ac:dyDescent="0.3">
      <c r="C5" s="12" t="s">
        <v>74</v>
      </c>
      <c r="D5" s="12" t="s">
        <v>112</v>
      </c>
      <c r="E5" s="12" t="s">
        <v>113</v>
      </c>
      <c r="F5" s="12" t="s">
        <v>114</v>
      </c>
      <c r="G5" s="12" t="s">
        <v>115</v>
      </c>
      <c r="H5" s="39"/>
      <c r="I5" s="36"/>
      <c r="J5" s="36"/>
      <c r="K5" s="36"/>
    </row>
    <row r="6" spans="2:14" ht="18" customHeight="1" x14ac:dyDescent="0.3">
      <c r="C6" s="53" t="s">
        <v>28</v>
      </c>
      <c r="D6" s="54">
        <v>1234</v>
      </c>
      <c r="E6" s="53" t="s">
        <v>118</v>
      </c>
      <c r="F6" s="53" t="s">
        <v>117</v>
      </c>
      <c r="G6" s="55">
        <v>100000</v>
      </c>
      <c r="H6" s="39"/>
      <c r="I6" s="36"/>
      <c r="J6" s="36"/>
      <c r="K6" s="36"/>
    </row>
    <row r="7" spans="2:14" ht="18" customHeight="1" x14ac:dyDescent="0.3">
      <c r="C7" s="53" t="s">
        <v>26</v>
      </c>
      <c r="D7" s="54">
        <v>4567</v>
      </c>
      <c r="E7" s="53" t="s">
        <v>157</v>
      </c>
      <c r="F7" s="53" t="s">
        <v>116</v>
      </c>
      <c r="G7" s="55">
        <v>3000</v>
      </c>
      <c r="H7" s="39"/>
      <c r="I7" s="36"/>
      <c r="J7" s="36"/>
      <c r="K7" s="36"/>
    </row>
    <row r="8" spans="2:14" ht="18" customHeight="1" x14ac:dyDescent="0.3">
      <c r="C8" s="53"/>
      <c r="D8" s="54"/>
      <c r="E8" s="53"/>
      <c r="F8" s="53"/>
      <c r="G8" s="55"/>
      <c r="H8" s="39"/>
      <c r="I8" s="36"/>
      <c r="J8" s="36"/>
      <c r="K8" s="36"/>
    </row>
    <row r="9" spans="2:14" ht="18" customHeight="1" x14ac:dyDescent="0.3">
      <c r="C9" s="53"/>
      <c r="D9" s="54"/>
      <c r="E9" s="53"/>
      <c r="F9" s="53"/>
      <c r="G9" s="55"/>
      <c r="H9" s="39"/>
      <c r="I9" s="36"/>
      <c r="J9" s="36"/>
      <c r="K9" s="36"/>
    </row>
    <row r="10" spans="2:14" ht="18" customHeight="1" x14ac:dyDescent="0.3">
      <c r="C10" s="56"/>
      <c r="D10" s="57"/>
      <c r="E10" s="53"/>
      <c r="F10" s="53"/>
      <c r="G10" s="55"/>
      <c r="H10" s="39"/>
      <c r="I10" s="36"/>
      <c r="J10" s="36"/>
      <c r="K10" s="36"/>
    </row>
    <row r="11" spans="2:14" ht="18" customHeight="1" thickBot="1" x14ac:dyDescent="0.4">
      <c r="C11" s="20" t="s">
        <v>119</v>
      </c>
      <c r="D11" s="21"/>
      <c r="E11" s="21"/>
      <c r="F11" s="21"/>
      <c r="G11" s="35"/>
      <c r="H11" s="39"/>
      <c r="I11" s="36"/>
      <c r="J11" s="36"/>
      <c r="K11" s="36"/>
    </row>
    <row r="12" spans="2:14" ht="18" customHeight="1" thickTop="1" x14ac:dyDescent="0.3">
      <c r="C12" s="12" t="s">
        <v>120</v>
      </c>
      <c r="D12" s="12" t="s">
        <v>114</v>
      </c>
      <c r="E12" s="12" t="s">
        <v>115</v>
      </c>
      <c r="F12" s="12"/>
      <c r="G12" s="12" t="s">
        <v>121</v>
      </c>
      <c r="H12" s="12"/>
      <c r="I12" s="36"/>
      <c r="J12" s="36"/>
      <c r="K12" s="36"/>
    </row>
    <row r="13" spans="2:14" ht="18" customHeight="1" x14ac:dyDescent="0.3">
      <c r="C13" s="53" t="s">
        <v>30</v>
      </c>
      <c r="D13" s="53" t="s">
        <v>122</v>
      </c>
      <c r="E13" s="58">
        <v>20000</v>
      </c>
      <c r="F13" s="58"/>
      <c r="G13" s="55">
        <v>2500</v>
      </c>
      <c r="H13" s="39"/>
      <c r="I13" s="36"/>
      <c r="J13" s="36"/>
      <c r="K13" s="36"/>
    </row>
    <row r="14" spans="2:14" ht="18" customHeight="1" x14ac:dyDescent="0.3">
      <c r="C14" s="53" t="s">
        <v>28</v>
      </c>
      <c r="D14" s="53" t="s">
        <v>123</v>
      </c>
      <c r="E14" s="58">
        <v>12000</v>
      </c>
      <c r="F14" s="58"/>
      <c r="G14" s="55">
        <v>1000</v>
      </c>
      <c r="H14" s="39"/>
      <c r="I14" s="36"/>
      <c r="J14" s="36"/>
      <c r="K14" s="36"/>
    </row>
    <row r="15" spans="2:14" ht="18" customHeight="1" x14ac:dyDescent="0.3">
      <c r="C15" s="53"/>
      <c r="D15" s="53"/>
      <c r="E15" s="58"/>
      <c r="F15" s="58"/>
      <c r="G15" s="55"/>
      <c r="H15" s="39"/>
      <c r="I15" s="36"/>
      <c r="J15" s="36"/>
      <c r="K15" s="36"/>
    </row>
    <row r="16" spans="2:14" ht="18" customHeight="1" x14ac:dyDescent="0.3">
      <c r="C16" s="53"/>
      <c r="D16" s="53"/>
      <c r="E16" s="58"/>
      <c r="F16" s="58"/>
      <c r="G16" s="55"/>
      <c r="H16" s="39"/>
      <c r="I16" s="36"/>
      <c r="J16" s="36"/>
      <c r="K16" s="36"/>
    </row>
    <row r="17" spans="3:11" ht="18" customHeight="1" x14ac:dyDescent="0.3">
      <c r="C17" s="53"/>
      <c r="D17" s="53"/>
      <c r="E17" s="58"/>
      <c r="F17" s="58"/>
      <c r="G17" s="55"/>
      <c r="H17" s="39"/>
      <c r="I17" s="36"/>
      <c r="J17" s="36"/>
      <c r="K17" s="36"/>
    </row>
    <row r="18" spans="3:11" ht="18" customHeight="1" thickBot="1" x14ac:dyDescent="0.35">
      <c r="C18" s="59"/>
      <c r="D18" s="59"/>
      <c r="E18" s="60"/>
      <c r="F18" s="60"/>
      <c r="G18" s="61"/>
      <c r="H18" s="39"/>
      <c r="I18" s="36"/>
      <c r="J18" s="36"/>
      <c r="K18" s="36"/>
    </row>
    <row r="19" spans="3:11" ht="18" customHeight="1" thickTop="1" x14ac:dyDescent="0.3">
      <c r="C19" s="12" t="s">
        <v>140</v>
      </c>
      <c r="D19" s="10"/>
      <c r="E19" s="10"/>
      <c r="F19" s="10"/>
      <c r="G19" s="24">
        <f>SUM(G13:G18)</f>
        <v>3500</v>
      </c>
      <c r="H19" s="39"/>
      <c r="I19" s="36"/>
      <c r="J19" s="36"/>
      <c r="K19" s="36"/>
    </row>
    <row r="20" spans="3:11" ht="18" customHeight="1" x14ac:dyDescent="0.3">
      <c r="C20" s="36"/>
      <c r="D20" s="36"/>
      <c r="E20" s="36"/>
      <c r="F20" s="36"/>
      <c r="G20" s="36"/>
      <c r="H20" s="36"/>
      <c r="I20" s="36"/>
      <c r="J20" s="36"/>
      <c r="K20" s="36"/>
    </row>
    <row r="21" spans="3:11" ht="25.5" x14ac:dyDescent="0.3">
      <c r="C21" s="7"/>
      <c r="D21" s="7"/>
      <c r="E21" s="7"/>
      <c r="F21" s="7"/>
      <c r="G21" s="36"/>
      <c r="H21" s="36"/>
      <c r="I21" s="36"/>
      <c r="J21" s="36"/>
      <c r="K21" s="36"/>
    </row>
    <row r="22" spans="3:11" ht="16.5" x14ac:dyDescent="0.3">
      <c r="C22" s="36"/>
      <c r="D22" s="36"/>
      <c r="E22" s="36"/>
      <c r="F22" s="36"/>
      <c r="G22" s="36"/>
      <c r="H22" s="36"/>
      <c r="I22" s="36"/>
      <c r="J22" s="36"/>
      <c r="K22" s="36"/>
    </row>
  </sheetData>
  <sheetProtection algorithmName="SHA-512" hashValue="vgsqgv9LR6e3kbfDbNwFrVQlGw2sTRcnEEOdoE+atHAWWez1t3jI2NcCxy19oCBM8sBS4+3J3pR35a/NOHBgcA==" saltValue="zFMYoU2UXCj3TQbpUsPkCQ==" spinCount="100000" sheet="1" objects="1" scenarios="1" selectLockedCells="1"/>
  <mergeCells count="7">
    <mergeCell ref="E17:F17"/>
    <mergeCell ref="E18:F18"/>
    <mergeCell ref="C2:F2"/>
    <mergeCell ref="E13:F13"/>
    <mergeCell ref="E14:F14"/>
    <mergeCell ref="E15:F15"/>
    <mergeCell ref="E16:F16"/>
  </mergeCells>
  <phoneticPr fontId="9" type="noConversion"/>
  <dataValidations count="2">
    <dataValidation type="list" allowBlank="1" showInputMessage="1" showErrorMessage="1" sqref="F6:F10" xr:uid="{A2F3E8A6-BFF6-4258-ACC4-99C43A0F6968}">
      <formula1>"Conta Corrente, Conta Poupança"</formula1>
    </dataValidation>
    <dataValidation type="list" allowBlank="1" showInputMessage="1" showErrorMessage="1" sqref="D13:D18" xr:uid="{A21C80D1-4BEC-4C47-BFB7-90AA347CA2A6}">
      <formula1>"CDB, LCA, LCI, CRA, CRI, FII, Debênture"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Selecione um banco da lista" promptTitle="Código e Nome do Banco" prompt="Selecione na lista o banco que você deseja prestar informações" xr:uid="{1238434A-85EC-42DE-9A98-A1A6E20DA30F}">
          <x14:formula1>
            <xm:f>'Banco de dados'!$A$2:$A$51</xm:f>
          </x14:formula1>
          <xm:sqref>C6:C9 C13:C18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C2C0D-66CB-4185-A7A8-3EF19CCB2082}">
  <sheetPr codeName="Planilha4"/>
  <dimension ref="A1:R22"/>
  <sheetViews>
    <sheetView showGridLines="0" showRowColHeaders="0" workbookViewId="0">
      <selection activeCell="K7" sqref="K7"/>
    </sheetView>
  </sheetViews>
  <sheetFormatPr defaultRowHeight="15" x14ac:dyDescent="0.25"/>
  <cols>
    <col min="1" max="1" width="32.42578125" style="1" customWidth="1"/>
    <col min="2" max="2" width="5.140625" customWidth="1"/>
    <col min="8" max="8" width="16.5703125" customWidth="1"/>
    <col min="9" max="9" width="8.5703125" customWidth="1"/>
    <col min="10" max="10" width="16.28515625" bestFit="1" customWidth="1"/>
    <col min="11" max="11" width="14.85546875" bestFit="1" customWidth="1"/>
    <col min="12" max="12" width="12" bestFit="1" customWidth="1"/>
    <col min="13" max="13" width="12.28515625" bestFit="1" customWidth="1"/>
  </cols>
  <sheetData>
    <row r="1" spans="2:18" ht="24.75" customHeight="1" x14ac:dyDescent="0.25"/>
    <row r="2" spans="2:18" ht="30.75" x14ac:dyDescent="0.25">
      <c r="B2" s="3"/>
      <c r="C2" s="4" t="s">
        <v>129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23"/>
      <c r="R2" s="23"/>
    </row>
    <row r="4" spans="2:18" ht="21" thickBot="1" x14ac:dyDescent="0.4">
      <c r="C4" s="20" t="s">
        <v>130</v>
      </c>
      <c r="D4" s="21"/>
      <c r="E4" s="21"/>
      <c r="F4" s="21"/>
      <c r="G4" s="35"/>
      <c r="H4" s="35"/>
      <c r="I4" s="35"/>
      <c r="J4" s="35"/>
      <c r="K4" s="35"/>
    </row>
    <row r="5" spans="2:18" ht="17.25" customHeight="1" thickTop="1" x14ac:dyDescent="0.3">
      <c r="C5" s="12" t="s">
        <v>114</v>
      </c>
      <c r="D5" s="12"/>
      <c r="E5" s="12"/>
      <c r="F5" s="42" t="s">
        <v>132</v>
      </c>
      <c r="G5" s="42"/>
      <c r="H5" s="12" t="s">
        <v>131</v>
      </c>
      <c r="I5" s="36"/>
      <c r="J5" s="12" t="s">
        <v>145</v>
      </c>
      <c r="K5" s="12" t="s">
        <v>133</v>
      </c>
    </row>
    <row r="6" spans="2:18" ht="17.25" customHeight="1" x14ac:dyDescent="0.3">
      <c r="C6" s="62" t="s">
        <v>134</v>
      </c>
      <c r="D6" s="62"/>
      <c r="E6" s="62"/>
      <c r="F6" s="63">
        <v>35786681234</v>
      </c>
      <c r="G6" s="63"/>
      <c r="H6" s="64" t="s">
        <v>141</v>
      </c>
      <c r="I6" s="64"/>
      <c r="J6" s="65">
        <v>42000</v>
      </c>
      <c r="K6" s="65">
        <v>1855.2000000000003</v>
      </c>
      <c r="L6" s="16"/>
      <c r="M6" s="8"/>
    </row>
    <row r="7" spans="2:18" ht="17.25" customHeight="1" x14ac:dyDescent="0.3">
      <c r="C7" s="62" t="s">
        <v>135</v>
      </c>
      <c r="D7" s="62"/>
      <c r="E7" s="62"/>
      <c r="F7" s="63">
        <v>89789081235</v>
      </c>
      <c r="G7" s="63"/>
      <c r="H7" s="64" t="s">
        <v>142</v>
      </c>
      <c r="I7" s="64"/>
      <c r="J7" s="65">
        <v>26400</v>
      </c>
      <c r="K7" s="65">
        <v>1212</v>
      </c>
      <c r="L7" s="16"/>
      <c r="M7" s="8"/>
    </row>
    <row r="8" spans="2:18" ht="17.25" customHeight="1" x14ac:dyDescent="0.3">
      <c r="C8" s="62" t="s">
        <v>143</v>
      </c>
      <c r="D8" s="62"/>
      <c r="E8" s="62"/>
      <c r="F8" s="63">
        <v>32186684578</v>
      </c>
      <c r="G8" s="63"/>
      <c r="H8" s="64" t="s">
        <v>144</v>
      </c>
      <c r="I8" s="64"/>
      <c r="J8" s="65">
        <v>28800</v>
      </c>
      <c r="K8" s="65">
        <v>1476</v>
      </c>
      <c r="L8" s="16"/>
      <c r="M8" s="8"/>
    </row>
    <row r="9" spans="2:18" ht="17.25" customHeight="1" x14ac:dyDescent="0.3">
      <c r="C9" s="66"/>
      <c r="D9" s="66"/>
      <c r="E9" s="66"/>
      <c r="F9" s="63"/>
      <c r="G9" s="63"/>
      <c r="H9" s="64"/>
      <c r="I9" s="64"/>
      <c r="J9" s="65"/>
      <c r="K9" s="65"/>
    </row>
    <row r="10" spans="2:18" ht="17.25" customHeight="1" x14ac:dyDescent="0.3">
      <c r="C10" s="66"/>
      <c r="D10" s="67"/>
      <c r="E10" s="66"/>
      <c r="F10" s="63"/>
      <c r="G10" s="63"/>
      <c r="H10" s="64"/>
      <c r="I10" s="64"/>
      <c r="J10" s="65"/>
      <c r="K10" s="65"/>
    </row>
    <row r="11" spans="2:18" ht="17.25" customHeight="1" thickBot="1" x14ac:dyDescent="0.35">
      <c r="C11" s="68"/>
      <c r="D11" s="68"/>
      <c r="E11" s="68"/>
      <c r="F11" s="69"/>
      <c r="G11" s="69"/>
      <c r="H11" s="70"/>
      <c r="I11" s="70"/>
      <c r="J11" s="71"/>
      <c r="K11" s="71"/>
    </row>
    <row r="12" spans="2:18" ht="17.25" customHeight="1" thickTop="1" x14ac:dyDescent="0.3">
      <c r="C12" s="12" t="s">
        <v>140</v>
      </c>
      <c r="D12" s="25"/>
      <c r="E12" s="25"/>
      <c r="F12" s="26"/>
      <c r="G12" s="26"/>
      <c r="H12" s="37"/>
      <c r="I12" s="37"/>
      <c r="J12" s="24">
        <f>SUM(J6:J11)</f>
        <v>97200</v>
      </c>
      <c r="K12" s="24">
        <f>SUM(K6:K11)</f>
        <v>4543.2000000000007</v>
      </c>
    </row>
    <row r="13" spans="2:18" ht="17.25" customHeight="1" x14ac:dyDescent="0.3">
      <c r="C13" s="12"/>
      <c r="D13" s="12"/>
      <c r="E13" s="12"/>
      <c r="F13" s="12"/>
      <c r="G13" s="12"/>
      <c r="H13" s="36"/>
      <c r="I13" s="36"/>
      <c r="J13" s="36"/>
      <c r="K13" s="36"/>
    </row>
    <row r="14" spans="2:18" ht="17.25" customHeight="1" thickBot="1" x14ac:dyDescent="0.4">
      <c r="C14" s="20" t="s">
        <v>136</v>
      </c>
      <c r="D14" s="21"/>
      <c r="E14" s="21"/>
      <c r="F14" s="21"/>
      <c r="G14" s="35"/>
      <c r="H14" s="35"/>
      <c r="I14" s="36"/>
      <c r="J14" s="36"/>
      <c r="K14" s="36"/>
    </row>
    <row r="15" spans="2:18" ht="17.25" customHeight="1" thickTop="1" x14ac:dyDescent="0.3">
      <c r="C15" s="12" t="s">
        <v>114</v>
      </c>
      <c r="D15" s="12"/>
      <c r="E15" s="12"/>
      <c r="F15" s="42" t="s">
        <v>132</v>
      </c>
      <c r="G15" s="42"/>
      <c r="H15" s="12" t="s">
        <v>145</v>
      </c>
      <c r="I15" s="12"/>
      <c r="J15" s="36"/>
      <c r="K15" s="36"/>
    </row>
    <row r="16" spans="2:18" ht="17.25" customHeight="1" x14ac:dyDescent="0.3">
      <c r="C16" s="62" t="s">
        <v>137</v>
      </c>
      <c r="D16" s="62"/>
      <c r="E16" s="62"/>
      <c r="F16" s="63">
        <v>35786681234</v>
      </c>
      <c r="G16" s="63"/>
      <c r="H16" s="65">
        <v>2343.34</v>
      </c>
      <c r="I16" s="38"/>
      <c r="J16" s="36"/>
      <c r="K16" s="36"/>
    </row>
    <row r="17" spans="3:11" ht="17.25" customHeight="1" x14ac:dyDescent="0.3">
      <c r="C17" s="62" t="s">
        <v>138</v>
      </c>
      <c r="D17" s="62"/>
      <c r="E17" s="62"/>
      <c r="F17" s="63">
        <v>91289081278</v>
      </c>
      <c r="G17" s="63"/>
      <c r="H17" s="65">
        <v>1678</v>
      </c>
      <c r="I17" s="38"/>
      <c r="J17" s="36"/>
      <c r="K17" s="36"/>
    </row>
    <row r="18" spans="3:11" ht="17.25" customHeight="1" x14ac:dyDescent="0.3">
      <c r="C18" s="62" t="s">
        <v>139</v>
      </c>
      <c r="D18" s="62"/>
      <c r="E18" s="62"/>
      <c r="F18" s="63">
        <v>99986688967</v>
      </c>
      <c r="G18" s="63"/>
      <c r="H18" s="65">
        <v>3567.98</v>
      </c>
      <c r="I18" s="38"/>
      <c r="J18" s="36"/>
      <c r="K18" s="36"/>
    </row>
    <row r="19" spans="3:11" ht="17.25" customHeight="1" x14ac:dyDescent="0.3">
      <c r="C19" s="66"/>
      <c r="D19" s="66"/>
      <c r="E19" s="66"/>
      <c r="F19" s="63"/>
      <c r="G19" s="63"/>
      <c r="H19" s="65"/>
      <c r="I19" s="36"/>
      <c r="J19" s="36"/>
      <c r="K19" s="36"/>
    </row>
    <row r="20" spans="3:11" ht="17.25" customHeight="1" x14ac:dyDescent="0.3">
      <c r="C20" s="66"/>
      <c r="D20" s="66"/>
      <c r="E20" s="66"/>
      <c r="F20" s="63"/>
      <c r="G20" s="63"/>
      <c r="H20" s="65"/>
      <c r="I20" s="36"/>
      <c r="J20" s="36"/>
      <c r="K20" s="36"/>
    </row>
    <row r="21" spans="3:11" ht="17.25" customHeight="1" thickBot="1" x14ac:dyDescent="0.35">
      <c r="C21" s="68"/>
      <c r="D21" s="68"/>
      <c r="E21" s="68"/>
      <c r="F21" s="69"/>
      <c r="G21" s="69"/>
      <c r="H21" s="71"/>
      <c r="I21" s="36"/>
      <c r="J21" s="36"/>
      <c r="K21" s="36"/>
    </row>
    <row r="22" spans="3:11" ht="17.25" customHeight="1" thickTop="1" x14ac:dyDescent="0.3">
      <c r="C22" s="12" t="s">
        <v>140</v>
      </c>
      <c r="D22" s="36"/>
      <c r="E22" s="36"/>
      <c r="F22" s="36"/>
      <c r="G22" s="36"/>
      <c r="H22" s="24">
        <f>SUM(H16:H21)</f>
        <v>7589.32</v>
      </c>
      <c r="I22" s="24"/>
      <c r="J22" s="36"/>
      <c r="K22" s="36"/>
    </row>
  </sheetData>
  <sheetProtection algorithmName="SHA-512" hashValue="xnIr1lQg7fhawJ6R4VbrnVYNkSvq+3lXSOifybDIaJNv6ZOyPXx0yvzm9HTCppzTDYzYeAoJgWMcFN8VU5L2ng==" saltValue="57YyOd4xIW4/pQUTJwoyLw==" spinCount="100000" sheet="1" objects="1" scenarios="1" selectLockedCells="1"/>
  <mergeCells count="32">
    <mergeCell ref="C6:E6"/>
    <mergeCell ref="F6:G6"/>
    <mergeCell ref="F7:G7"/>
    <mergeCell ref="F5:G5"/>
    <mergeCell ref="F15:G15"/>
    <mergeCell ref="C7:E7"/>
    <mergeCell ref="C17:E17"/>
    <mergeCell ref="F17:G17"/>
    <mergeCell ref="F8:G8"/>
    <mergeCell ref="F9:G9"/>
    <mergeCell ref="F10:G10"/>
    <mergeCell ref="F11:G11"/>
    <mergeCell ref="C8:E8"/>
    <mergeCell ref="C9:E9"/>
    <mergeCell ref="C10:E10"/>
    <mergeCell ref="C11:E11"/>
    <mergeCell ref="C21:E21"/>
    <mergeCell ref="F21:G21"/>
    <mergeCell ref="H6:I6"/>
    <mergeCell ref="H7:I7"/>
    <mergeCell ref="H8:I8"/>
    <mergeCell ref="H9:I9"/>
    <mergeCell ref="H10:I10"/>
    <mergeCell ref="H11:I11"/>
    <mergeCell ref="C18:E18"/>
    <mergeCell ref="F18:G18"/>
    <mergeCell ref="C19:E19"/>
    <mergeCell ref="F19:G19"/>
    <mergeCell ref="C20:E20"/>
    <mergeCell ref="F20:G20"/>
    <mergeCell ref="C16:E16"/>
    <mergeCell ref="F16:G16"/>
  </mergeCells>
  <dataValidations count="2">
    <dataValidation type="list" allowBlank="1" showInputMessage="1" showErrorMessage="1" sqref="C6:E11" xr:uid="{24BB3AF9-5DAF-49D2-A2E9-05AD110DCE39}">
      <formula1>"Salário Bruto, Aluguéis e Royalties, Aposentadorias e Pensões, Rendimentos de Autônomos/Profissionais Liberais, Ganhos de Capital, Outros"</formula1>
    </dataValidation>
    <dataValidation type="list" allowBlank="1" showInputMessage="1" showErrorMessage="1" sqref="C16:E21" xr:uid="{2958F388-F8B2-4BE6-8AC5-EA42F8EBA4EB}">
      <formula1>"Contribuição ao INSS, Pensão Alimentícia, Despesas com Educação, Despesas Médicas, Previdência Privada (PGBL), Livro Caixa, Outros"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715D1-86E3-4321-BC89-ECFD898C9455}">
  <sheetPr codeName="Planilha5"/>
  <dimension ref="A1:I51"/>
  <sheetViews>
    <sheetView workbookViewId="0">
      <selection activeCell="F10" sqref="F10"/>
    </sheetView>
  </sheetViews>
  <sheetFormatPr defaultRowHeight="15" x14ac:dyDescent="0.25"/>
  <cols>
    <col min="1" max="1" width="38.5703125" bestFit="1" customWidth="1"/>
    <col min="3" max="3" width="26.140625" bestFit="1" customWidth="1"/>
    <col min="9" max="9" width="18" customWidth="1"/>
  </cols>
  <sheetData>
    <row r="1" spans="1:9" ht="16.5" thickBot="1" x14ac:dyDescent="0.3">
      <c r="A1" s="6" t="s">
        <v>75</v>
      </c>
      <c r="C1" s="6" t="s">
        <v>109</v>
      </c>
      <c r="E1" s="6" t="s">
        <v>124</v>
      </c>
      <c r="F1" s="6" t="s">
        <v>125</v>
      </c>
      <c r="G1" s="6" t="s">
        <v>126</v>
      </c>
      <c r="H1" s="6" t="s">
        <v>127</v>
      </c>
      <c r="I1" s="6" t="s">
        <v>128</v>
      </c>
    </row>
    <row r="2" spans="1:9" ht="15.75" thickBot="1" x14ac:dyDescent="0.3">
      <c r="A2" t="s">
        <v>24</v>
      </c>
      <c r="C2" t="s">
        <v>79</v>
      </c>
      <c r="E2" s="13">
        <v>1</v>
      </c>
      <c r="F2" s="13">
        <v>0</v>
      </c>
      <c r="G2" s="13">
        <v>2259.1999999999998</v>
      </c>
      <c r="H2" s="14">
        <v>0</v>
      </c>
      <c r="I2" s="13">
        <v>0</v>
      </c>
    </row>
    <row r="3" spans="1:9" ht="15.75" thickBot="1" x14ac:dyDescent="0.3">
      <c r="A3" t="s">
        <v>25</v>
      </c>
      <c r="C3" t="s">
        <v>80</v>
      </c>
      <c r="E3" s="13">
        <v>2</v>
      </c>
      <c r="F3" s="13">
        <v>2259.21</v>
      </c>
      <c r="G3" s="13">
        <v>2826.65</v>
      </c>
      <c r="H3" s="15">
        <v>7.4999999999999997E-2</v>
      </c>
      <c r="I3" s="13">
        <v>169.44</v>
      </c>
    </row>
    <row r="4" spans="1:9" ht="15.75" thickBot="1" x14ac:dyDescent="0.3">
      <c r="A4" t="s">
        <v>26</v>
      </c>
      <c r="C4" t="s">
        <v>81</v>
      </c>
      <c r="E4" s="13">
        <v>3</v>
      </c>
      <c r="F4" s="13">
        <v>2826.66</v>
      </c>
      <c r="G4" s="13">
        <v>3751.05</v>
      </c>
      <c r="H4" s="14">
        <v>0.15</v>
      </c>
      <c r="I4" s="13">
        <v>381.44</v>
      </c>
    </row>
    <row r="5" spans="1:9" ht="15.75" thickBot="1" x14ac:dyDescent="0.3">
      <c r="A5" t="s">
        <v>27</v>
      </c>
      <c r="C5" t="s">
        <v>82</v>
      </c>
      <c r="E5" s="13">
        <v>4</v>
      </c>
      <c r="F5" s="13">
        <v>3751.06</v>
      </c>
      <c r="G5" s="13">
        <v>4664.68</v>
      </c>
      <c r="H5" s="15">
        <v>0.22500000000000001</v>
      </c>
      <c r="I5" s="13">
        <v>662.77</v>
      </c>
    </row>
    <row r="6" spans="1:9" ht="15.75" thickBot="1" x14ac:dyDescent="0.3">
      <c r="A6" t="s">
        <v>28</v>
      </c>
      <c r="C6" t="s">
        <v>83</v>
      </c>
      <c r="E6" s="13">
        <v>5</v>
      </c>
      <c r="F6" s="13">
        <v>4664.6899999999996</v>
      </c>
      <c r="G6" s="13">
        <v>999999999</v>
      </c>
      <c r="H6" s="15">
        <v>0.27500000000000002</v>
      </c>
      <c r="I6" s="13">
        <v>896</v>
      </c>
    </row>
    <row r="7" spans="1:9" x14ac:dyDescent="0.25">
      <c r="A7" t="s">
        <v>29</v>
      </c>
      <c r="C7" t="s">
        <v>84</v>
      </c>
    </row>
    <row r="8" spans="1:9" x14ac:dyDescent="0.25">
      <c r="A8" t="s">
        <v>30</v>
      </c>
      <c r="C8" t="s">
        <v>85</v>
      </c>
    </row>
    <row r="9" spans="1:9" x14ac:dyDescent="0.25">
      <c r="A9" t="s">
        <v>31</v>
      </c>
      <c r="C9" t="s">
        <v>86</v>
      </c>
    </row>
    <row r="10" spans="1:9" x14ac:dyDescent="0.25">
      <c r="A10" t="s">
        <v>32</v>
      </c>
      <c r="C10" t="s">
        <v>87</v>
      </c>
    </row>
    <row r="11" spans="1:9" x14ac:dyDescent="0.25">
      <c r="A11" t="s">
        <v>33</v>
      </c>
      <c r="C11" t="s">
        <v>88</v>
      </c>
    </row>
    <row r="12" spans="1:9" x14ac:dyDescent="0.25">
      <c r="A12" t="s">
        <v>34</v>
      </c>
      <c r="C12" t="s">
        <v>89</v>
      </c>
    </row>
    <row r="13" spans="1:9" x14ac:dyDescent="0.25">
      <c r="A13" t="s">
        <v>35</v>
      </c>
      <c r="C13" t="s">
        <v>90</v>
      </c>
    </row>
    <row r="14" spans="1:9" x14ac:dyDescent="0.25">
      <c r="A14" t="s">
        <v>36</v>
      </c>
      <c r="C14" t="s">
        <v>91</v>
      </c>
    </row>
    <row r="15" spans="1:9" x14ac:dyDescent="0.25">
      <c r="A15" t="s">
        <v>37</v>
      </c>
      <c r="C15" t="s">
        <v>92</v>
      </c>
    </row>
    <row r="16" spans="1:9" x14ac:dyDescent="0.25">
      <c r="A16" t="s">
        <v>38</v>
      </c>
      <c r="C16" t="s">
        <v>93</v>
      </c>
    </row>
    <row r="17" spans="1:3" x14ac:dyDescent="0.25">
      <c r="A17" t="s">
        <v>39</v>
      </c>
      <c r="C17" t="s">
        <v>94</v>
      </c>
    </row>
    <row r="18" spans="1:3" x14ac:dyDescent="0.25">
      <c r="A18" t="s">
        <v>40</v>
      </c>
      <c r="C18" t="s">
        <v>95</v>
      </c>
    </row>
    <row r="19" spans="1:3" x14ac:dyDescent="0.25">
      <c r="A19" t="s">
        <v>41</v>
      </c>
      <c r="C19" t="s">
        <v>96</v>
      </c>
    </row>
    <row r="20" spans="1:3" x14ac:dyDescent="0.25">
      <c r="A20" t="s">
        <v>42</v>
      </c>
      <c r="C20" t="s">
        <v>97</v>
      </c>
    </row>
    <row r="21" spans="1:3" x14ac:dyDescent="0.25">
      <c r="A21" t="s">
        <v>43</v>
      </c>
      <c r="C21" t="s">
        <v>98</v>
      </c>
    </row>
    <row r="22" spans="1:3" x14ac:dyDescent="0.25">
      <c r="A22" t="s">
        <v>44</v>
      </c>
      <c r="C22" t="s">
        <v>99</v>
      </c>
    </row>
    <row r="23" spans="1:3" x14ac:dyDescent="0.25">
      <c r="A23" t="s">
        <v>45</v>
      </c>
      <c r="C23" t="s">
        <v>100</v>
      </c>
    </row>
    <row r="24" spans="1:3" x14ac:dyDescent="0.25">
      <c r="A24" t="s">
        <v>46</v>
      </c>
      <c r="C24" t="s">
        <v>101</v>
      </c>
    </row>
    <row r="25" spans="1:3" x14ac:dyDescent="0.25">
      <c r="A25" t="s">
        <v>47</v>
      </c>
      <c r="C25" t="s">
        <v>102</v>
      </c>
    </row>
    <row r="26" spans="1:3" x14ac:dyDescent="0.25">
      <c r="A26" t="s">
        <v>48</v>
      </c>
      <c r="C26" t="s">
        <v>103</v>
      </c>
    </row>
    <row r="27" spans="1:3" x14ac:dyDescent="0.25">
      <c r="A27" t="s">
        <v>49</v>
      </c>
      <c r="C27" t="s">
        <v>104</v>
      </c>
    </row>
    <row r="28" spans="1:3" x14ac:dyDescent="0.25">
      <c r="A28" t="s">
        <v>50</v>
      </c>
      <c r="C28" t="s">
        <v>105</v>
      </c>
    </row>
    <row r="29" spans="1:3" x14ac:dyDescent="0.25">
      <c r="A29" t="s">
        <v>51</v>
      </c>
      <c r="C29" t="s">
        <v>106</v>
      </c>
    </row>
    <row r="30" spans="1:3" x14ac:dyDescent="0.25">
      <c r="A30" t="s">
        <v>52</v>
      </c>
      <c r="C30" t="s">
        <v>107</v>
      </c>
    </row>
    <row r="31" spans="1:3" x14ac:dyDescent="0.25">
      <c r="A31" t="s">
        <v>53</v>
      </c>
      <c r="C31" t="s">
        <v>108</v>
      </c>
    </row>
    <row r="32" spans="1:3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58</v>
      </c>
    </row>
    <row r="37" spans="1:1" x14ac:dyDescent="0.25">
      <c r="A37" t="s">
        <v>59</v>
      </c>
    </row>
    <row r="38" spans="1:1" x14ac:dyDescent="0.25">
      <c r="A38" t="s">
        <v>60</v>
      </c>
    </row>
    <row r="39" spans="1:1" x14ac:dyDescent="0.25">
      <c r="A39" t="s">
        <v>61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64</v>
      </c>
    </row>
    <row r="43" spans="1:1" x14ac:dyDescent="0.25">
      <c r="A43" t="s">
        <v>65</v>
      </c>
    </row>
    <row r="44" spans="1:1" x14ac:dyDescent="0.25">
      <c r="A44" t="s">
        <v>66</v>
      </c>
    </row>
    <row r="45" spans="1:1" x14ac:dyDescent="0.25">
      <c r="A45" t="s">
        <v>67</v>
      </c>
    </row>
    <row r="46" spans="1:1" x14ac:dyDescent="0.25">
      <c r="A46" t="s">
        <v>68</v>
      </c>
    </row>
    <row r="47" spans="1:1" x14ac:dyDescent="0.25">
      <c r="A47" t="s">
        <v>69</v>
      </c>
    </row>
    <row r="48" spans="1:1" x14ac:dyDescent="0.25">
      <c r="A48" t="s">
        <v>70</v>
      </c>
    </row>
    <row r="49" spans="1:1" x14ac:dyDescent="0.25">
      <c r="A49" t="s">
        <v>71</v>
      </c>
    </row>
    <row r="50" spans="1:1" x14ac:dyDescent="0.25">
      <c r="A50" t="s">
        <v>72</v>
      </c>
    </row>
    <row r="51" spans="1:1" x14ac:dyDescent="0.25">
      <c r="A51" t="s">
        <v>73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Resumo</vt:lpstr>
      <vt:lpstr>Contribuinte</vt:lpstr>
      <vt:lpstr>Informes</vt:lpstr>
      <vt:lpstr>Notas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brassanini</dc:creator>
  <cp:lastModifiedBy>thiago brassanini</cp:lastModifiedBy>
  <cp:lastPrinted>2025-06-10T19:32:47Z</cp:lastPrinted>
  <dcterms:created xsi:type="dcterms:W3CDTF">2025-06-09T17:44:07Z</dcterms:created>
  <dcterms:modified xsi:type="dcterms:W3CDTF">2025-06-11T00:26:34Z</dcterms:modified>
</cp:coreProperties>
</file>